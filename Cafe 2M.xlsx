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9A09ECF7-E548-4D73-A6BB-30CD71C67DF9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الموظفين" sheetId="2" r:id="rId1"/>
    <sheet name="الإيرادات اليومية" sheetId="3" r:id="rId2"/>
    <sheet name="المشتريات اليومية" sheetId="4" r:id="rId3"/>
    <sheet name="المصروفات" sheetId="5" r:id="rId4"/>
    <sheet name="تقفيلة اليوم" sheetId="6" r:id="rId5"/>
    <sheet name="الرواتب" sheetId="7" r:id="rId6"/>
    <sheet name="سلف الموظفين" sheetId="8" r:id="rId7"/>
    <sheet name="المخزون" sheetId="10" r:id="rId8"/>
    <sheet name="الجرد" sheetId="11" r:id="rId9"/>
    <sheet name="الموردين" sheetId="12" r:id="rId10"/>
    <sheet name="ملخص شهري" sheetId="13" r:id="rId11"/>
  </sheets>
  <definedNames>
    <definedName name="_xlnm.Print_Area" localSheetId="5">الرواتب!$A$1:$K$34</definedName>
    <definedName name="_xlnm.Print_Area" localSheetId="3">المصروفات!$A$1:$D$20</definedName>
    <definedName name="_xlnm.Print_Area" localSheetId="4">'تقفيلة اليوم'!$A$6:$J$42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7" l="1"/>
  <c r="F23" i="7"/>
  <c r="F12" i="7"/>
  <c r="F14" i="7"/>
  <c r="F6" i="7"/>
  <c r="G37" i="6"/>
  <c r="C38" i="6"/>
  <c r="D38" i="6"/>
  <c r="F38" i="6"/>
  <c r="G38" i="6"/>
  <c r="H38" i="6"/>
  <c r="D39" i="6"/>
  <c r="F39" i="6"/>
  <c r="G39" i="6"/>
  <c r="H39" i="6"/>
  <c r="I39" i="6"/>
  <c r="I41" i="6" s="1"/>
  <c r="D40" i="6"/>
  <c r="F40" i="6"/>
  <c r="G40" i="6"/>
  <c r="H40" i="6"/>
  <c r="I40" i="6"/>
  <c r="I50" i="6"/>
  <c r="I53" i="6"/>
  <c r="E5" i="13"/>
  <c r="C20" i="5"/>
  <c r="C5" i="13"/>
  <c r="G36" i="4"/>
  <c r="C6" i="5"/>
  <c r="G23" i="4" l="1"/>
  <c r="G21" i="4"/>
  <c r="G19" i="4"/>
  <c r="G20" i="4"/>
  <c r="C42" i="5" l="1"/>
  <c r="B5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39" i="4"/>
  <c r="B38" i="4"/>
  <c r="B37" i="4"/>
  <c r="H5" i="10" l="1"/>
  <c r="H20" i="10"/>
</calcChain>
</file>

<file path=xl/sharedStrings.xml><?xml version="1.0" encoding="utf-8"?>
<sst xmlns="http://schemas.openxmlformats.org/spreadsheetml/2006/main" count="424" uniqueCount="199">
  <si>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</si>
  <si>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</si>
  <si>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</si>
  <si>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</si>
  <si>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</si>
  <si>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</si>
  <si>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</si>
  <si>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</si>
  <si>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</si>
  <si>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</si>
  <si>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</si>
  <si>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</si>
  <si>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</si>
  <si>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</si>
  <si>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</si>
  <si>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</si>
  <si>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</si>
  <si>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</si>
  <si>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</si>
  <si>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</si>
  <si>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</si>
  <si>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</si>
  <si>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</si>
  <si>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</si>
  <si>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</si>
  <si>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</si>
  <si>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</si>
  <si>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</si>
  <si>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</si>
  <si>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</si>
  <si>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</si>
  <si>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</si>
  <si>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</si>
  <si>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</si>
  <si>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</si>
  <si>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</si>
  <si>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</si>
  <si>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</si>
  <si>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</si>
  <si>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</si>
  <si>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</si>
  <si>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</si>
  <si>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</si>
  <si>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</si>
  <si>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</si>
  <si>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</si>
  <si>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</si>
  <si>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</si>
  <si>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</si>
  <si>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</si>
  <si>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</si>
  <si>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</si>
  <si>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</si>
  <si>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</si>
  <si>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</si>
  <si>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</si>
  <si>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</si>
  <si>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</si>
  <si>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</si>
  <si>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</si>
  <si>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</si>
  <si>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</si>
  <si>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</si>
  <si>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</si>
  <si>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</si>
  <si>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</si>
  <si>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</si>
  <si>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</si>
  <si>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</si>
  <si>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</si>
  <si>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</si>
  <si>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</si>
  <si>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</si>
  <si>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</si>
  <si>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</si>
  <si>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</si>
  <si>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</si>
  <si>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</si>
  <si>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</si>
  <si>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</si>
  <si>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</si>
  <si>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</si>
  <si>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</si>
  <si>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</si>
  <si>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</si>
  <si>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</si>
  <si>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</si>
  <si>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</si>
  <si>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</si>
  <si>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</si>
  <si>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</si>
  <si>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</si>
  <si>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</si>
  <si>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</si>
  <si>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</si>
  <si>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</si>
  <si>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</si>
  <si>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</si>
  <si>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</si>
  <si>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</si>
  <si>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</si>
  <si>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</si>
  <si>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</si>
  <si>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</si>
  <si>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</si>
  <si>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</si>
  <si>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</si>
  <si>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</si>
  <si>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</si>
  <si>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</si>
  <si>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</si>
  <si>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</si>
  <si>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</si>
  <si>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</si>
  <si>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</si>
  <si>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</si>
  <si>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</si>
  <si>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</si>
  <si>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</si>
  <si>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 xml:space="preserve">دون فاتورة حتي الان 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</si>
  <si>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</si>
  <si>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</si>
  <si>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</si>
  <si>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</si>
  <si>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</si>
  <si>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</si>
  <si>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</si>
  <si>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</si>
  <si>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</si>
  <si>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</si>
  <si>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</si>
  <si>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</si>
  <si>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</si>
  <si>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</si>
  <si>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</si>
  <si>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</si>
  <si>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</si>
  <si>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</si>
  <si>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</si>
  <si>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</si>
  <si>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</si>
  <si>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</si>
  <si>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</si>
  <si>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</si>
  <si>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</si>
  <si>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</si>
  <si>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</si>
  <si>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</si>
  <si>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</si>
  <si>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</si>
  <si>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</si>
  <si>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</si>
  <si>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</si>
  <si>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</si>
  <si>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</si>
  <si>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عبد الله الغزولي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</si>
  <si>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</si>
  <si>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</si>
  <si>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</si>
  <si>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</si>
  <si>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</si>
  <si>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</si>
  <si>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</si>
  <si>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</si>
  <si>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</si>
  <si>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</si>
  <si>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</si>
  <si>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</si>
  <si>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</si>
  <si>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</si>
  <si>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</si>
  <si>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</si>
  <si>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</si>
  <si>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</si>
  <si>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</si>
  <si>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</si>
  <si>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</si>
  <si>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</si>
  <si>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</si>
  <si>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</si>
  <si>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</si>
  <si>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</si>
  <si>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</si>
  <si>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</si>
  <si>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</si>
  <si>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</si>
  <si>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</si>
  <si>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</si>
  <si>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</si>
  <si>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</si>
  <si>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</si>
  <si>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</si>
  <si>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</si>
  <si>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</si>
  <si>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</si>
  <si>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</si>
  <si>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</si>
  <si>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</si>
  <si>
    <t>لحد 30/6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</si>
</sst>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4" fillId="5" borderId="0" applyNumberFormat="0" applyBorder="0" applyAlignment="0" applyProtection="0"/>
  </cellStyleXfs>
  <cellXfs count="72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4" fontId="3" fillId="3" borderId="1" xfId="0" applyNumberFormat="1" applyFont="1" applyFill="1" applyBorder="1"/>
    <xf numFmtId="4" fontId="2" fillId="0" borderId="0" xfId="0" applyNumberFormat="1" applyFont="1"/>
    <xf numFmtId="0" fontId="3" fillId="3" borderId="0" xfId="0" applyFont="1" applyFill="1"/>
    <xf numFmtId="0" fontId="0" fillId="3" borderId="0" xfId="0" applyFill="1"/>
    <xf numFmtId="4" fontId="3" fillId="3" borderId="0" xfId="0" applyNumberFormat="1" applyFont="1" applyFill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8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7" fillId="0" borderId="1" xfId="0" applyFont="1" applyBorder="1"/>
    <xf numFmtId="14" fontId="7" fillId="0" borderId="1" xfId="0" applyNumberFormat="1" applyFont="1" applyBorder="1"/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0" borderId="1" xfId="0" applyFont="1" applyBorder="1"/>
    <xf numFmtId="2" fontId="0" fillId="0" borderId="1" xfId="0" applyNumberFormat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4" fontId="9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/>
    </xf>
    <xf numFmtId="0" fontId="17" fillId="0" borderId="0" xfId="0" applyFont="1"/>
    <xf numFmtId="4" fontId="12" fillId="0" borderId="1" xfId="0" applyNumberFormat="1" applyFont="1" applyBorder="1" applyAlignment="1">
      <alignment horizontal="center" vertical="center"/>
    </xf>
    <xf numFmtId="0" fontId="18" fillId="0" borderId="1" xfId="0" applyFont="1" applyBorder="1"/>
    <xf numFmtId="0" fontId="19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4" fontId="7" fillId="0" borderId="0" xfId="0" applyNumberFormat="1" applyFont="1"/>
    <xf numFmtId="2" fontId="12" fillId="0" borderId="1" xfId="0" applyNumberFormat="1" applyFont="1" applyBorder="1" applyAlignment="1">
      <alignment horizontal="center" vertical="center"/>
    </xf>
    <xf numFmtId="0" fontId="24" fillId="5" borderId="1" xfId="1" applyBorder="1"/>
    <xf numFmtId="0" fontId="24" fillId="5" borderId="1" xfId="1" applyBorder="1" applyAlignment="1">
      <alignment horizontal="center"/>
    </xf>
    <xf numFmtId="0" fontId="24" fillId="5" borderId="1" xfId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10" headerRowBorderDxfId="9" tableBorderDxfId="8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3:G5" totalsRowShown="0" headerRowDxfId="7" headerRowBorderDxfId="6" tableBorderDxfId="5">
  <autoFilter ref="A3:G5" xr:uid="{A6F27E3D-FBAF-4743-A0A3-D8E2D9B03B04}"/>
  <tableColumns count="7">
    <tableColumn id="1" xr3:uid="{A998BA95-B09C-44A1-A227-B8F1FF4998BD}" name="Column1"/>
    <tableColumn id="2" xr3:uid="{7F618648-8E50-4DC0-B288-6CD993840FB4}" name="Column2" dataDxfId="4"/>
    <tableColumn id="3" xr3:uid="{EF3645F5-0BE4-48DB-B29E-C177BB47CC4C}" name="Column3" dataDxfId="3"/>
    <tableColumn id="4" xr3:uid="{EB69A2FB-DBB9-4FE5-BED5-8121EF9313B1}" name="Column4" dataDxfId="2"/>
    <tableColumn id="5" xr3:uid="{FD215D26-D2BF-41DB-B058-CF22763E6EE0}" name="Column5" dataDxfId="1"/>
    <tableColumn id="6" xr3:uid="{7245048F-85FE-4E7F-B3F5-156C2BE4C803}" name="Column6" dataDxfId="0"/>
    <tableColumn id="7" xr3:uid="{9565D7A7-9C50-40C6-ADD4-AC220B8E1416}" name="Column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F11" sqref="F11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65" t="s">
        <v>11</v>
      </c>
      <c r="B1" s="66"/>
      <c r="C1" s="66"/>
      <c r="D1" s="66"/>
    </row>
    <row r="4" spans="1:4" x14ac:dyDescent="0.25">
      <c r="A4" s="51" t="s">
        <v>12</v>
      </c>
      <c r="B4" s="51" t="s">
        <v>13</v>
      </c>
      <c r="C4" s="51" t="s">
        <v>14</v>
      </c>
      <c r="D4" s="51" t="s">
        <v>15</v>
      </c>
    </row>
    <row r="5" spans="1:4" x14ac:dyDescent="0.25">
      <c r="A5" s="14">
        <v>1</v>
      </c>
      <c r="B5" s="52" t="s">
        <v>82</v>
      </c>
      <c r="C5" s="53" t="s">
        <v>174</v>
      </c>
      <c r="D5" s="54">
        <v>1099724995</v>
      </c>
    </row>
    <row r="6" spans="1:4" x14ac:dyDescent="0.25">
      <c r="A6" s="14">
        <v>2</v>
      </c>
      <c r="B6" s="52" t="s">
        <v>88</v>
      </c>
      <c r="C6" s="53" t="s">
        <v>99</v>
      </c>
      <c r="D6" s="55">
        <v>1098610851</v>
      </c>
    </row>
    <row r="7" spans="1:4" x14ac:dyDescent="0.25">
      <c r="A7" s="14">
        <v>3</v>
      </c>
      <c r="B7" s="52" t="s">
        <v>76</v>
      </c>
      <c r="C7" s="53" t="s">
        <v>175</v>
      </c>
      <c r="D7" s="55">
        <v>1022948840</v>
      </c>
    </row>
    <row r="8" spans="1:4" x14ac:dyDescent="0.25">
      <c r="A8" s="14">
        <v>4</v>
      </c>
      <c r="B8" s="52" t="s">
        <v>77</v>
      </c>
      <c r="C8" s="53" t="s">
        <v>175</v>
      </c>
      <c r="D8" s="55">
        <v>1094787318</v>
      </c>
    </row>
    <row r="9" spans="1:4" x14ac:dyDescent="0.25">
      <c r="A9" s="14">
        <v>5</v>
      </c>
      <c r="B9" s="52" t="s">
        <v>78</v>
      </c>
      <c r="C9" s="53" t="s">
        <v>176</v>
      </c>
      <c r="D9" s="55">
        <v>1141286890</v>
      </c>
    </row>
    <row r="10" spans="1:4" x14ac:dyDescent="0.25">
      <c r="A10" s="14">
        <v>6</v>
      </c>
      <c r="B10" s="52" t="s">
        <v>79</v>
      </c>
      <c r="C10" s="53" t="s">
        <v>177</v>
      </c>
      <c r="D10" s="55">
        <v>1203252448</v>
      </c>
    </row>
    <row r="11" spans="1:4" x14ac:dyDescent="0.25">
      <c r="A11" s="14">
        <v>7</v>
      </c>
      <c r="B11" s="52" t="s">
        <v>195</v>
      </c>
      <c r="C11" s="53" t="s">
        <v>176</v>
      </c>
      <c r="D11" s="55">
        <v>1273884672</v>
      </c>
    </row>
    <row r="12" spans="1:4" x14ac:dyDescent="0.25">
      <c r="A12" s="14">
        <v>8</v>
      </c>
      <c r="B12" s="52" t="s">
        <v>80</v>
      </c>
      <c r="C12" s="53" t="s">
        <v>176</v>
      </c>
      <c r="D12" s="55">
        <v>1556027058</v>
      </c>
    </row>
    <row r="13" spans="1:4" x14ac:dyDescent="0.25">
      <c r="A13" s="14">
        <v>9</v>
      </c>
      <c r="B13" s="52" t="s">
        <v>81</v>
      </c>
      <c r="C13" s="53" t="s">
        <v>97</v>
      </c>
      <c r="D13" s="55">
        <v>1148115761</v>
      </c>
    </row>
    <row r="14" spans="1:4" x14ac:dyDescent="0.25">
      <c r="A14" s="14">
        <v>10</v>
      </c>
      <c r="B14" s="52" t="s">
        <v>83</v>
      </c>
      <c r="C14" s="53" t="s">
        <v>176</v>
      </c>
      <c r="D14" s="55">
        <v>1228413897</v>
      </c>
    </row>
    <row r="15" spans="1:4" x14ac:dyDescent="0.25">
      <c r="A15" s="14">
        <v>11</v>
      </c>
      <c r="B15" s="52" t="s">
        <v>84</v>
      </c>
      <c r="C15" s="53" t="s">
        <v>176</v>
      </c>
      <c r="D15" s="55">
        <v>1288766508</v>
      </c>
    </row>
    <row r="16" spans="1:4" x14ac:dyDescent="0.25">
      <c r="A16" s="14">
        <v>12</v>
      </c>
      <c r="B16" s="52" t="s">
        <v>85</v>
      </c>
      <c r="C16" s="53" t="s">
        <v>175</v>
      </c>
      <c r="D16" s="55">
        <v>1206196377</v>
      </c>
    </row>
    <row r="17" spans="1:4" x14ac:dyDescent="0.25">
      <c r="A17" s="14">
        <v>13</v>
      </c>
      <c r="B17" s="52" t="s">
        <v>86</v>
      </c>
      <c r="C17" s="53" t="s">
        <v>97</v>
      </c>
      <c r="D17" s="55">
        <v>1033075725</v>
      </c>
    </row>
    <row r="18" spans="1:4" x14ac:dyDescent="0.25">
      <c r="A18" s="14">
        <v>14</v>
      </c>
      <c r="B18" s="52" t="s">
        <v>87</v>
      </c>
      <c r="C18" s="53" t="s">
        <v>98</v>
      </c>
      <c r="D18" s="55">
        <v>1097710346</v>
      </c>
    </row>
    <row r="19" spans="1:4" x14ac:dyDescent="0.25">
      <c r="A19" s="14">
        <v>15</v>
      </c>
      <c r="B19" s="52" t="s">
        <v>75</v>
      </c>
      <c r="C19" s="53" t="s">
        <v>178</v>
      </c>
      <c r="D19" s="55">
        <v>1221210579</v>
      </c>
    </row>
    <row r="20" spans="1:4" x14ac:dyDescent="0.25">
      <c r="A20" s="14">
        <v>16</v>
      </c>
      <c r="B20" s="52" t="s">
        <v>154</v>
      </c>
      <c r="C20" s="53" t="s">
        <v>177</v>
      </c>
      <c r="D20" s="56"/>
    </row>
    <row r="21" spans="1:4" x14ac:dyDescent="0.25">
      <c r="A21" s="14">
        <v>17</v>
      </c>
      <c r="B21" s="52" t="s">
        <v>105</v>
      </c>
      <c r="C21" s="53" t="s">
        <v>179</v>
      </c>
      <c r="D21" s="56"/>
    </row>
    <row r="22" spans="1:4" x14ac:dyDescent="0.25">
      <c r="A22" s="14">
        <v>18</v>
      </c>
      <c r="B22" s="52" t="s">
        <v>180</v>
      </c>
      <c r="C22" s="53" t="s">
        <v>175</v>
      </c>
      <c r="D22" s="54">
        <v>1028966193</v>
      </c>
    </row>
    <row r="23" spans="1:4" ht="15.75" x14ac:dyDescent="0.25">
      <c r="A23" s="14">
        <v>19</v>
      </c>
      <c r="B23" s="57" t="s">
        <v>130</v>
      </c>
      <c r="C23" s="53" t="s">
        <v>179</v>
      </c>
      <c r="D23" s="56"/>
    </row>
    <row r="24" spans="1:4" ht="15.75" x14ac:dyDescent="0.25">
      <c r="A24" s="14">
        <v>20</v>
      </c>
      <c r="B24" s="58" t="s">
        <v>181</v>
      </c>
      <c r="C24" s="53" t="s">
        <v>176</v>
      </c>
      <c r="D24" s="56"/>
    </row>
    <row r="25" spans="1:4" ht="15.75" x14ac:dyDescent="0.25">
      <c r="A25" s="14">
        <v>21</v>
      </c>
      <c r="B25" s="58" t="s">
        <v>182</v>
      </c>
      <c r="C25" s="53" t="s">
        <v>183</v>
      </c>
      <c r="D25" s="40">
        <v>1277585870</v>
      </c>
    </row>
    <row r="26" spans="1:4" x14ac:dyDescent="0.25">
      <c r="A26" s="14">
        <v>22</v>
      </c>
      <c r="B26" s="40" t="s">
        <v>141</v>
      </c>
      <c r="C26" s="53" t="s">
        <v>176</v>
      </c>
      <c r="D26" s="40">
        <v>1020633821</v>
      </c>
    </row>
    <row r="27" spans="1:4" x14ac:dyDescent="0.25">
      <c r="A27" s="14">
        <v>23</v>
      </c>
      <c r="B27" s="30" t="s">
        <v>184</v>
      </c>
      <c r="C27" s="14"/>
      <c r="D27" s="14"/>
    </row>
    <row r="28" spans="1:4" x14ac:dyDescent="0.25">
      <c r="A28" s="14">
        <v>24</v>
      </c>
      <c r="B28" s="30" t="s">
        <v>185</v>
      </c>
      <c r="C28" s="14"/>
      <c r="D28" s="14"/>
    </row>
    <row r="29" spans="1:4" x14ac:dyDescent="0.25">
      <c r="A29" s="14">
        <v>25</v>
      </c>
      <c r="B29" s="30" t="s">
        <v>151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65" t="s">
        <v>16</v>
      </c>
      <c r="B1" s="66"/>
      <c r="C1" s="66"/>
      <c r="D1" s="66"/>
      <c r="E1" s="66"/>
      <c r="F1" s="66"/>
      <c r="G1" s="66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89</v>
      </c>
      <c r="E3" s="15" t="s">
        <v>90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39"/>
  <sheetViews>
    <sheetView topLeftCell="A12" workbookViewId="0">
      <selection activeCell="N30" sqref="N30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65" t="s">
        <v>0</v>
      </c>
      <c r="B1" s="66"/>
      <c r="C1" s="66"/>
      <c r="D1" s="66"/>
      <c r="E1" s="66"/>
      <c r="F1" s="66"/>
      <c r="G1" s="66"/>
      <c r="H1" s="66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96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8">
        <v>46180</v>
      </c>
      <c r="B4" s="39" t="s">
        <v>110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8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8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8">
        <v>46183</v>
      </c>
      <c r="B7" s="39" t="s">
        <v>131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8">
        <v>46184</v>
      </c>
      <c r="B8" s="39" t="s">
        <v>134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8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8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8">
        <v>46187</v>
      </c>
      <c r="B11" s="39" t="s">
        <v>110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8">
        <v>46188</v>
      </c>
      <c r="B12" s="39" t="s">
        <v>132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8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8">
        <v>46190</v>
      </c>
      <c r="B14" s="39" t="s">
        <v>133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8">
        <v>46191</v>
      </c>
      <c r="B15" s="39" t="s">
        <v>134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8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8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8">
        <v>46194</v>
      </c>
      <c r="B18" s="39" t="s">
        <v>110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8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8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8">
        <v>46197</v>
      </c>
      <c r="B21" s="39" t="s">
        <v>131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8">
        <v>46198</v>
      </c>
      <c r="B22" s="39" t="s">
        <v>134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8">
        <v>46199</v>
      </c>
      <c r="B23" s="39" t="s">
        <v>22</v>
      </c>
      <c r="C23" s="14"/>
      <c r="D23" s="14"/>
      <c r="E23" s="14"/>
      <c r="F23" s="14"/>
      <c r="G23" s="33">
        <f>3920+3150</f>
        <v>7070</v>
      </c>
      <c r="H23" s="14"/>
    </row>
    <row r="24" spans="1:12" x14ac:dyDescent="0.25">
      <c r="A24" s="48">
        <v>46200</v>
      </c>
      <c r="B24" s="30" t="s">
        <v>23</v>
      </c>
      <c r="C24" s="30" t="s">
        <v>139</v>
      </c>
      <c r="D24" s="30" t="s">
        <v>138</v>
      </c>
      <c r="E24" s="17"/>
      <c r="F24" s="17"/>
      <c r="G24" s="25">
        <v>1635</v>
      </c>
      <c r="H24" s="14"/>
    </row>
    <row r="25" spans="1:12" x14ac:dyDescent="0.25">
      <c r="A25" s="48">
        <v>46201</v>
      </c>
      <c r="B25" s="30" t="s">
        <v>23</v>
      </c>
      <c r="C25" s="30" t="s">
        <v>188</v>
      </c>
      <c r="D25" s="30" t="s">
        <v>102</v>
      </c>
      <c r="E25" s="17"/>
      <c r="F25" s="17"/>
      <c r="G25" s="25">
        <v>13425</v>
      </c>
      <c r="H25" s="14"/>
      <c r="L25" s="3"/>
    </row>
    <row r="26" spans="1:12" x14ac:dyDescent="0.25">
      <c r="A26" s="48">
        <v>46201</v>
      </c>
      <c r="B26" s="30" t="s">
        <v>110</v>
      </c>
      <c r="C26" s="30" t="s">
        <v>188</v>
      </c>
      <c r="D26" s="30" t="s">
        <v>102</v>
      </c>
      <c r="E26" s="17"/>
      <c r="F26" s="17"/>
      <c r="G26" s="25">
        <v>5895</v>
      </c>
      <c r="H26" s="14"/>
    </row>
    <row r="27" spans="1:12" x14ac:dyDescent="0.25">
      <c r="A27" s="48">
        <v>46201</v>
      </c>
      <c r="B27" s="30" t="s">
        <v>111</v>
      </c>
      <c r="C27" s="30" t="s">
        <v>188</v>
      </c>
      <c r="D27" s="30" t="s">
        <v>102</v>
      </c>
      <c r="E27" s="17"/>
      <c r="F27" s="17"/>
      <c r="G27" s="25">
        <v>225</v>
      </c>
      <c r="H27" s="14"/>
    </row>
    <row r="28" spans="1:12" x14ac:dyDescent="0.25">
      <c r="A28" s="48">
        <v>46201</v>
      </c>
      <c r="B28" s="30" t="s">
        <v>111</v>
      </c>
      <c r="C28" s="30" t="s">
        <v>188</v>
      </c>
      <c r="D28" s="30" t="s">
        <v>102</v>
      </c>
      <c r="E28" s="17"/>
      <c r="F28" s="17"/>
      <c r="G28" s="25">
        <v>50</v>
      </c>
      <c r="H28" s="14"/>
    </row>
    <row r="29" spans="1:12" x14ac:dyDescent="0.25">
      <c r="A29" s="48">
        <v>46201</v>
      </c>
      <c r="B29" s="30" t="s">
        <v>111</v>
      </c>
      <c r="C29" s="30" t="s">
        <v>139</v>
      </c>
      <c r="D29" s="30" t="s">
        <v>138</v>
      </c>
      <c r="E29" s="17"/>
      <c r="F29" s="17"/>
      <c r="G29" s="25">
        <v>925</v>
      </c>
      <c r="H29" s="14"/>
    </row>
    <row r="30" spans="1:12" x14ac:dyDescent="0.25">
      <c r="A30" s="48">
        <v>46202</v>
      </c>
      <c r="B30" s="30" t="s">
        <v>18</v>
      </c>
      <c r="C30" s="30" t="s">
        <v>118</v>
      </c>
      <c r="D30" s="30" t="s">
        <v>189</v>
      </c>
      <c r="E30" s="17"/>
      <c r="F30" s="17"/>
      <c r="G30" s="25">
        <v>450</v>
      </c>
      <c r="H30" s="14"/>
    </row>
    <row r="31" spans="1:12" x14ac:dyDescent="0.25">
      <c r="A31" s="48">
        <v>46202</v>
      </c>
      <c r="B31" s="30" t="s">
        <v>18</v>
      </c>
      <c r="C31" s="30" t="s">
        <v>188</v>
      </c>
      <c r="D31" s="30" t="s">
        <v>102</v>
      </c>
      <c r="E31" s="17"/>
      <c r="F31" s="17"/>
      <c r="G31" s="25">
        <v>8440</v>
      </c>
      <c r="H31" s="14"/>
    </row>
    <row r="32" spans="1:12" x14ac:dyDescent="0.25">
      <c r="A32" s="48">
        <v>46202</v>
      </c>
      <c r="B32" s="30" t="s">
        <v>18</v>
      </c>
      <c r="C32" s="30" t="s">
        <v>140</v>
      </c>
      <c r="D32" s="30" t="s">
        <v>138</v>
      </c>
      <c r="E32" s="17"/>
      <c r="F32" s="17"/>
      <c r="G32" s="25">
        <v>1046</v>
      </c>
      <c r="H32" s="14"/>
    </row>
    <row r="33" spans="1:8" x14ac:dyDescent="0.25">
      <c r="A33" s="48">
        <v>46202</v>
      </c>
      <c r="B33" s="30" t="s">
        <v>18</v>
      </c>
      <c r="C33" s="30" t="s">
        <v>188</v>
      </c>
      <c r="D33" s="30" t="s">
        <v>102</v>
      </c>
      <c r="E33" s="17"/>
      <c r="F33" s="17"/>
      <c r="G33" s="25">
        <v>8000</v>
      </c>
      <c r="H33" s="28" t="s">
        <v>119</v>
      </c>
    </row>
    <row r="34" spans="1:8" x14ac:dyDescent="0.25">
      <c r="A34" s="48">
        <v>46203</v>
      </c>
      <c r="B34" s="30" t="s">
        <v>19</v>
      </c>
      <c r="C34" s="30" t="s">
        <v>140</v>
      </c>
      <c r="D34" s="30" t="s">
        <v>138</v>
      </c>
      <c r="E34" s="17"/>
      <c r="F34" s="17"/>
      <c r="G34" s="25">
        <v>1700</v>
      </c>
      <c r="H34" s="14"/>
    </row>
    <row r="35" spans="1:8" x14ac:dyDescent="0.25">
      <c r="A35" s="48">
        <v>46203</v>
      </c>
      <c r="B35" s="30" t="s">
        <v>19</v>
      </c>
      <c r="C35" s="30" t="s">
        <v>137</v>
      </c>
      <c r="D35" s="30" t="s">
        <v>189</v>
      </c>
      <c r="E35" s="17"/>
      <c r="F35" s="17"/>
      <c r="G35" s="25">
        <v>350</v>
      </c>
      <c r="H35" s="14"/>
    </row>
    <row r="36" spans="1:8" ht="25.5" customHeight="1" x14ac:dyDescent="0.25">
      <c r="A36" s="59"/>
      <c r="B36" s="29"/>
      <c r="E36" s="1"/>
      <c r="F36" s="1"/>
      <c r="G36" s="60">
        <f>SUM(G4:G35)</f>
        <v>163610</v>
      </c>
      <c r="H36" s="38" t="s">
        <v>190</v>
      </c>
    </row>
    <row r="37" spans="1:8" x14ac:dyDescent="0.25">
      <c r="A37" s="59"/>
      <c r="B37" s="29" t="str">
        <f t="shared" ref="B37:B39" si="0">IF(A37="","",TEXT(A37,"dddd"))</f>
        <v/>
      </c>
      <c r="E37" s="1"/>
      <c r="F37" s="1"/>
      <c r="G37" s="1"/>
    </row>
    <row r="38" spans="1:8" x14ac:dyDescent="0.25">
      <c r="A38" s="59"/>
      <c r="B38" t="str">
        <f t="shared" si="0"/>
        <v/>
      </c>
      <c r="E38" s="1"/>
      <c r="F38" s="1"/>
      <c r="G38" s="1"/>
    </row>
    <row r="39" spans="1:8" x14ac:dyDescent="0.25">
      <c r="A39" s="2"/>
      <c r="B39" t="str">
        <f t="shared" si="0"/>
        <v/>
      </c>
      <c r="E39" s="1"/>
      <c r="F39" s="1"/>
      <c r="G39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workbookViewId="0">
      <selection activeCell="K12" sqref="K12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70" t="s">
        <v>159</v>
      </c>
      <c r="B1" s="66"/>
      <c r="C1" s="66"/>
      <c r="D1" s="66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8">
        <v>46218</v>
      </c>
      <c r="B4" s="30" t="s">
        <v>186</v>
      </c>
      <c r="C4" s="30">
        <v>890</v>
      </c>
      <c r="D4" s="30" t="s">
        <v>168</v>
      </c>
    </row>
    <row r="5" spans="1:4" ht="15.75" customHeight="1" x14ac:dyDescent="0.25">
      <c r="A5" s="48">
        <v>46195</v>
      </c>
      <c r="B5" s="30" t="s">
        <v>186</v>
      </c>
      <c r="C5" s="30">
        <v>890</v>
      </c>
      <c r="D5" s="30" t="s">
        <v>170</v>
      </c>
    </row>
    <row r="6" spans="1:4" ht="15.75" x14ac:dyDescent="0.25">
      <c r="A6" s="48">
        <v>46200</v>
      </c>
      <c r="B6" s="30" t="s">
        <v>186</v>
      </c>
      <c r="C6" s="30">
        <f>690+200</f>
        <v>890</v>
      </c>
      <c r="D6" s="37" t="s">
        <v>187</v>
      </c>
    </row>
    <row r="7" spans="1:4" ht="15.75" x14ac:dyDescent="0.25">
      <c r="A7" s="48">
        <v>46200</v>
      </c>
      <c r="B7" s="30" t="s">
        <v>93</v>
      </c>
      <c r="C7" s="30">
        <v>150</v>
      </c>
      <c r="D7" s="37"/>
    </row>
    <row r="8" spans="1:4" ht="15.75" x14ac:dyDescent="0.25">
      <c r="A8" s="48">
        <v>46201</v>
      </c>
      <c r="B8" s="30" t="s">
        <v>112</v>
      </c>
      <c r="C8" s="30">
        <v>80</v>
      </c>
      <c r="D8" s="37"/>
    </row>
    <row r="9" spans="1:4" ht="15.75" x14ac:dyDescent="0.25">
      <c r="A9" s="48">
        <v>46201</v>
      </c>
      <c r="B9" s="30" t="s">
        <v>107</v>
      </c>
      <c r="C9" s="30">
        <v>140</v>
      </c>
      <c r="D9" s="37"/>
    </row>
    <row r="10" spans="1:4" ht="15.75" x14ac:dyDescent="0.25">
      <c r="A10" s="48">
        <v>46201</v>
      </c>
      <c r="B10" s="30" t="s">
        <v>108</v>
      </c>
      <c r="C10" s="30">
        <v>55</v>
      </c>
      <c r="D10" s="37"/>
    </row>
    <row r="11" spans="1:4" ht="15.75" x14ac:dyDescent="0.25">
      <c r="A11" s="48">
        <v>46201</v>
      </c>
      <c r="B11" s="30" t="s">
        <v>93</v>
      </c>
      <c r="C11" s="30">
        <v>120</v>
      </c>
      <c r="D11" s="37"/>
    </row>
    <row r="12" spans="1:4" ht="15.75" x14ac:dyDescent="0.25">
      <c r="A12" s="48">
        <v>46201</v>
      </c>
      <c r="B12" s="30" t="s">
        <v>109</v>
      </c>
      <c r="C12" s="30">
        <v>190</v>
      </c>
      <c r="D12" s="37"/>
    </row>
    <row r="13" spans="1:4" ht="15.75" x14ac:dyDescent="0.25">
      <c r="A13" s="48">
        <v>46202</v>
      </c>
      <c r="B13" s="30" t="s">
        <v>112</v>
      </c>
      <c r="C13" s="30">
        <v>50</v>
      </c>
      <c r="D13" s="37"/>
    </row>
    <row r="14" spans="1:4" ht="15.75" x14ac:dyDescent="0.25">
      <c r="A14" s="48">
        <v>46202</v>
      </c>
      <c r="B14" s="30" t="s">
        <v>114</v>
      </c>
      <c r="C14" s="30">
        <v>180</v>
      </c>
      <c r="D14" s="37"/>
    </row>
    <row r="15" spans="1:4" ht="15.75" x14ac:dyDescent="0.25">
      <c r="A15" s="48">
        <v>46202</v>
      </c>
      <c r="B15" s="30" t="s">
        <v>115</v>
      </c>
      <c r="C15" s="30">
        <v>3800</v>
      </c>
      <c r="D15" s="37"/>
    </row>
    <row r="16" spans="1:4" ht="15.75" x14ac:dyDescent="0.25">
      <c r="A16" s="48">
        <v>46202</v>
      </c>
      <c r="B16" s="30" t="s">
        <v>116</v>
      </c>
      <c r="C16" s="30">
        <v>150</v>
      </c>
      <c r="D16" s="37"/>
    </row>
    <row r="17" spans="1:4" ht="18.75" customHeight="1" x14ac:dyDescent="0.25">
      <c r="B17" s="30" t="s">
        <v>160</v>
      </c>
      <c r="C17" s="30">
        <v>18000</v>
      </c>
      <c r="D17" s="32"/>
    </row>
    <row r="18" spans="1:4" ht="15.75" x14ac:dyDescent="0.25">
      <c r="B18" s="30" t="s">
        <v>166</v>
      </c>
      <c r="C18" s="30">
        <v>1500</v>
      </c>
      <c r="D18" s="32"/>
    </row>
    <row r="19" spans="1:4" ht="20.25" customHeight="1" x14ac:dyDescent="0.25">
      <c r="B19" s="30" t="s">
        <v>165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121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5" zoomScale="103" workbookViewId="0">
      <selection activeCell="N28" sqref="N28"/>
    </sheetView>
  </sheetViews>
  <sheetFormatPr defaultRowHeight="15" x14ac:dyDescent="0.25"/>
  <cols>
    <col min="1" max="1" width="14" customWidth="1"/>
    <col min="2" max="5" width="12" customWidth="1"/>
    <col min="6" max="9" width="16" customWidth="1"/>
    <col min="10" max="10" width="33.140625" bestFit="1" customWidth="1"/>
    <col min="12" max="12" width="10.140625" bestFit="1" customWidth="1"/>
  </cols>
  <sheetData>
    <row r="1" spans="1:10" ht="24" x14ac:dyDescent="0.25">
      <c r="A1" s="65" t="s">
        <v>28</v>
      </c>
      <c r="B1" s="66"/>
      <c r="C1" s="66"/>
      <c r="D1" s="66"/>
      <c r="E1" s="66"/>
      <c r="F1" s="66"/>
      <c r="G1" s="66"/>
      <c r="H1" s="66"/>
      <c r="I1" s="66"/>
      <c r="J1" s="66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71" t="s">
        <v>192</v>
      </c>
      <c r="G7" s="71"/>
    </row>
    <row r="8" spans="1:10" x14ac:dyDescent="0.25">
      <c r="F8" s="71"/>
      <c r="G8" s="71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100</v>
      </c>
      <c r="E10" s="15" t="s">
        <v>89</v>
      </c>
      <c r="F10" s="6" t="s">
        <v>29</v>
      </c>
      <c r="G10" s="6" t="s">
        <v>30</v>
      </c>
      <c r="H10" s="15" t="s">
        <v>92</v>
      </c>
      <c r="I10" s="18" t="s">
        <v>120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>
        <v>4150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50" t="s">
        <v>171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50" t="s">
        <v>171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9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9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9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9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50" t="s">
        <v>169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9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9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9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9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9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9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50" t="s">
        <v>170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9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9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9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50" t="s">
        <v>172</v>
      </c>
    </row>
    <row r="37" spans="1:10" x14ac:dyDescent="0.25">
      <c r="A37" s="16">
        <v>46200</v>
      </c>
      <c r="B37" s="14" t="s">
        <v>23</v>
      </c>
      <c r="C37" s="50">
        <v>9665</v>
      </c>
      <c r="D37" s="50">
        <v>600</v>
      </c>
      <c r="E37" s="50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173</v>
      </c>
    </row>
    <row r="38" spans="1:10" x14ac:dyDescent="0.25">
      <c r="A38" s="16">
        <v>46201</v>
      </c>
      <c r="B38" s="14" t="s">
        <v>24</v>
      </c>
      <c r="C38" s="50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101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113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47">
        <f>SUM(I17:I40)</f>
        <v>246428</v>
      </c>
      <c r="J41" s="38" t="s">
        <v>120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6" type="noConversion"/>
  <pageMargins left="0.75" right="0.75" top="1" bottom="1" header="0.5" footer="0.5"/>
  <pageSetup scale="56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5"/>
  <sheetViews>
    <sheetView tabSelected="1" topLeftCell="A9" zoomScale="115" workbookViewId="0">
      <selection activeCell="M21" sqref="M21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65"/>
      <c r="B1" s="66"/>
      <c r="C1" s="66"/>
      <c r="D1" s="66"/>
      <c r="E1" s="66"/>
      <c r="F1" s="66"/>
      <c r="G1" s="66"/>
      <c r="H1" s="66"/>
      <c r="I1" s="66"/>
    </row>
    <row r="2" spans="1:22" x14ac:dyDescent="0.25">
      <c r="C2" s="69" t="s">
        <v>157</v>
      </c>
      <c r="D2" s="69"/>
      <c r="E2" s="69"/>
      <c r="F2" s="69"/>
      <c r="G2" s="69"/>
    </row>
    <row r="3" spans="1:22" x14ac:dyDescent="0.25">
      <c r="C3" s="69"/>
      <c r="D3" s="69"/>
      <c r="E3" s="69"/>
      <c r="F3" s="69"/>
      <c r="G3" s="69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148</v>
      </c>
      <c r="J5" s="15" t="s">
        <v>95</v>
      </c>
      <c r="K5" s="15" t="s">
        <v>9</v>
      </c>
      <c r="U5" s="67" t="s">
        <v>143</v>
      </c>
      <c r="V5" s="68"/>
    </row>
    <row r="6" spans="1:22" x14ac:dyDescent="0.25">
      <c r="A6" s="14">
        <v>1</v>
      </c>
      <c r="B6" s="30" t="s">
        <v>154</v>
      </c>
      <c r="C6" s="30"/>
      <c r="D6" s="25"/>
      <c r="E6" s="26"/>
      <c r="F6" s="41">
        <f>50+15+50+80+20+10+30+15</f>
        <v>270</v>
      </c>
      <c r="G6" s="26" t="s">
        <v>193</v>
      </c>
      <c r="H6" s="26"/>
      <c r="I6" s="30"/>
      <c r="J6" s="30"/>
      <c r="K6" s="30"/>
      <c r="U6" s="30" t="s">
        <v>149</v>
      </c>
      <c r="V6" s="30" t="s">
        <v>94</v>
      </c>
    </row>
    <row r="7" spans="1:22" x14ac:dyDescent="0.25">
      <c r="A7" s="14">
        <v>2</v>
      </c>
      <c r="B7" s="30" t="s">
        <v>88</v>
      </c>
      <c r="C7" s="30"/>
      <c r="D7" s="25"/>
      <c r="E7" s="26"/>
      <c r="F7" s="41"/>
      <c r="G7" s="26"/>
      <c r="H7" s="26"/>
      <c r="I7" s="30">
        <v>5050</v>
      </c>
      <c r="J7" s="30"/>
      <c r="K7" s="30" t="s">
        <v>196</v>
      </c>
      <c r="U7" s="30" t="s">
        <v>150</v>
      </c>
      <c r="V7" s="30">
        <v>1665</v>
      </c>
    </row>
    <row r="8" spans="1:22" x14ac:dyDescent="0.25">
      <c r="A8" s="14">
        <v>3</v>
      </c>
      <c r="B8" s="30" t="s">
        <v>76</v>
      </c>
      <c r="C8" s="30"/>
      <c r="D8" s="25"/>
      <c r="E8" s="26"/>
      <c r="F8" s="41"/>
      <c r="G8" s="26"/>
      <c r="H8" s="26"/>
      <c r="I8" s="30">
        <v>5000</v>
      </c>
      <c r="J8" s="30"/>
      <c r="K8" s="30" t="s">
        <v>196</v>
      </c>
      <c r="U8" s="30" t="s">
        <v>145</v>
      </c>
      <c r="V8" s="30">
        <v>300</v>
      </c>
    </row>
    <row r="9" spans="1:22" x14ac:dyDescent="0.25">
      <c r="A9" s="14">
        <v>4</v>
      </c>
      <c r="B9" s="30" t="s">
        <v>77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196</v>
      </c>
      <c r="U9" s="30" t="s">
        <v>144</v>
      </c>
      <c r="V9" s="30">
        <v>4104</v>
      </c>
    </row>
    <row r="10" spans="1:22" x14ac:dyDescent="0.25">
      <c r="A10" s="14">
        <v>5</v>
      </c>
      <c r="B10" s="30" t="s">
        <v>78</v>
      </c>
      <c r="C10" s="30"/>
      <c r="D10" s="25"/>
      <c r="E10" s="26"/>
      <c r="F10" s="41"/>
      <c r="G10" s="26"/>
      <c r="H10" s="26"/>
      <c r="I10" s="30">
        <v>6120</v>
      </c>
      <c r="J10" s="30"/>
      <c r="K10" s="30" t="s">
        <v>143</v>
      </c>
      <c r="U10" s="30" t="s">
        <v>151</v>
      </c>
      <c r="V10" s="30">
        <v>2000</v>
      </c>
    </row>
    <row r="11" spans="1:22" x14ac:dyDescent="0.25">
      <c r="A11" s="14">
        <v>6</v>
      </c>
      <c r="B11" s="30" t="s">
        <v>79</v>
      </c>
      <c r="C11" s="30"/>
      <c r="D11" s="25"/>
      <c r="E11" s="26"/>
      <c r="F11" s="41"/>
      <c r="G11" s="26"/>
      <c r="H11" s="26"/>
      <c r="I11" s="30">
        <v>2750</v>
      </c>
      <c r="J11" s="30"/>
      <c r="K11" s="30" t="s">
        <v>196</v>
      </c>
      <c r="U11" s="30" t="s">
        <v>142</v>
      </c>
      <c r="V11" s="30">
        <v>9000</v>
      </c>
    </row>
    <row r="12" spans="1:22" x14ac:dyDescent="0.25">
      <c r="A12" s="14">
        <v>7</v>
      </c>
      <c r="B12" s="30" t="s">
        <v>195</v>
      </c>
      <c r="C12" s="30"/>
      <c r="D12" s="25"/>
      <c r="E12" s="26"/>
      <c r="F12" s="41">
        <f>150+120</f>
        <v>270</v>
      </c>
      <c r="G12" s="26"/>
      <c r="H12" s="26"/>
      <c r="I12" s="30">
        <v>3000</v>
      </c>
      <c r="J12" s="30">
        <v>-520</v>
      </c>
      <c r="K12" s="30" t="s">
        <v>196</v>
      </c>
      <c r="U12" s="30" t="s">
        <v>152</v>
      </c>
      <c r="V12" s="30">
        <v>1290</v>
      </c>
    </row>
    <row r="13" spans="1:22" x14ac:dyDescent="0.25">
      <c r="A13" s="14">
        <v>8</v>
      </c>
      <c r="B13" s="30" t="s">
        <v>80</v>
      </c>
      <c r="C13" s="30"/>
      <c r="D13" s="25"/>
      <c r="E13" s="26"/>
      <c r="F13" s="41"/>
      <c r="G13" s="26"/>
      <c r="H13" s="26"/>
      <c r="I13" s="30">
        <v>3675</v>
      </c>
      <c r="J13" s="30"/>
      <c r="K13" s="30" t="s">
        <v>196</v>
      </c>
      <c r="U13" s="30" t="s">
        <v>161</v>
      </c>
      <c r="V13" s="30">
        <v>1500</v>
      </c>
    </row>
    <row r="14" spans="1:22" x14ac:dyDescent="0.25">
      <c r="A14" s="14">
        <v>9</v>
      </c>
      <c r="B14" s="30" t="s">
        <v>153</v>
      </c>
      <c r="C14" s="30"/>
      <c r="D14" s="25"/>
      <c r="E14" s="26"/>
      <c r="F14" s="41">
        <f>200+30+15+200+15+20+20+70+87+25+10+10+30+355</f>
        <v>1087</v>
      </c>
      <c r="G14" s="26"/>
      <c r="H14" s="26"/>
      <c r="J14" s="30"/>
      <c r="K14" s="30"/>
      <c r="U14" s="30" t="s">
        <v>162</v>
      </c>
      <c r="V14" s="30">
        <v>6120</v>
      </c>
    </row>
    <row r="15" spans="1:22" x14ac:dyDescent="0.25">
      <c r="A15" s="14">
        <v>10</v>
      </c>
      <c r="B15" s="30" t="s">
        <v>83</v>
      </c>
      <c r="C15" s="30"/>
      <c r="D15" s="25"/>
      <c r="E15" s="26"/>
      <c r="F15" s="41"/>
      <c r="G15" s="26"/>
      <c r="H15" s="26"/>
      <c r="I15" s="30">
        <v>8350</v>
      </c>
      <c r="J15" s="30"/>
      <c r="K15" s="30" t="s">
        <v>143</v>
      </c>
      <c r="U15" s="30" t="s">
        <v>163</v>
      </c>
      <c r="V15" s="30">
        <v>8350</v>
      </c>
    </row>
    <row r="16" spans="1:22" x14ac:dyDescent="0.25">
      <c r="A16" s="14">
        <v>11</v>
      </c>
      <c r="B16" s="30" t="s">
        <v>84</v>
      </c>
      <c r="C16" s="30"/>
      <c r="D16" s="25"/>
      <c r="E16" s="26"/>
      <c r="F16" s="41"/>
      <c r="G16" s="26"/>
      <c r="H16" s="26"/>
      <c r="I16" s="30">
        <v>9000</v>
      </c>
      <c r="J16" s="30"/>
      <c r="K16" s="30" t="s">
        <v>143</v>
      </c>
      <c r="U16" s="30" t="s">
        <v>156</v>
      </c>
      <c r="V16" s="30">
        <v>4000</v>
      </c>
    </row>
    <row r="17" spans="1:11" x14ac:dyDescent="0.25">
      <c r="A17" s="14">
        <v>12</v>
      </c>
      <c r="B17" s="30" t="s">
        <v>85</v>
      </c>
      <c r="C17" s="30"/>
      <c r="D17" s="25"/>
      <c r="E17" s="26"/>
      <c r="F17" s="41">
        <v>400</v>
      </c>
      <c r="G17" s="26"/>
      <c r="H17" s="26"/>
      <c r="I17" s="30"/>
      <c r="J17" s="30">
        <v>1770</v>
      </c>
      <c r="K17" s="30" t="s">
        <v>143</v>
      </c>
    </row>
    <row r="18" spans="1:11" x14ac:dyDescent="0.25">
      <c r="A18" s="14">
        <v>13</v>
      </c>
      <c r="B18" s="30" t="s">
        <v>86</v>
      </c>
      <c r="C18" s="30"/>
      <c r="D18" s="25"/>
      <c r="E18" s="26"/>
      <c r="F18" s="41">
        <v>400</v>
      </c>
      <c r="G18" s="26"/>
      <c r="H18" s="26"/>
      <c r="I18" s="64">
        <v>600</v>
      </c>
      <c r="J18" s="30"/>
      <c r="K18" s="30" t="s">
        <v>143</v>
      </c>
    </row>
    <row r="19" spans="1:11" x14ac:dyDescent="0.25">
      <c r="A19" s="14">
        <v>14</v>
      </c>
      <c r="B19" s="30" t="s">
        <v>87</v>
      </c>
      <c r="C19" s="30"/>
      <c r="D19" s="25"/>
      <c r="E19" s="26"/>
      <c r="F19" s="41"/>
      <c r="G19" s="26"/>
      <c r="H19" s="26"/>
      <c r="I19" s="30">
        <v>1000</v>
      </c>
      <c r="J19" s="30"/>
      <c r="K19" s="30" t="s">
        <v>196</v>
      </c>
    </row>
    <row r="20" spans="1:11" x14ac:dyDescent="0.25">
      <c r="A20" s="14">
        <v>15</v>
      </c>
      <c r="B20" s="30" t="s">
        <v>75</v>
      </c>
      <c r="C20" s="30"/>
      <c r="D20" s="25"/>
      <c r="E20" s="26"/>
      <c r="F20" s="41"/>
      <c r="G20" s="26"/>
      <c r="H20" s="26"/>
      <c r="I20" s="30">
        <v>6000</v>
      </c>
      <c r="J20" s="30"/>
      <c r="K20" s="30"/>
    </row>
    <row r="21" spans="1:11" x14ac:dyDescent="0.25">
      <c r="A21" s="14">
        <v>16</v>
      </c>
      <c r="B21" s="30" t="s">
        <v>105</v>
      </c>
      <c r="C21" s="30"/>
      <c r="D21" s="25"/>
      <c r="E21" s="26"/>
      <c r="F21" s="41">
        <v>120</v>
      </c>
      <c r="G21" s="26"/>
      <c r="H21" s="26"/>
      <c r="I21" s="30"/>
      <c r="J21" s="30"/>
      <c r="K21" s="30"/>
    </row>
    <row r="22" spans="1:11" x14ac:dyDescent="0.25">
      <c r="A22" s="14">
        <v>17</v>
      </c>
      <c r="B22" s="30" t="s">
        <v>106</v>
      </c>
      <c r="C22" s="30"/>
      <c r="D22" s="28"/>
      <c r="E22" s="30"/>
      <c r="F22" s="39">
        <v>130</v>
      </c>
      <c r="G22" s="30"/>
      <c r="H22" s="30"/>
      <c r="I22" s="30">
        <v>1330</v>
      </c>
      <c r="J22" s="30"/>
      <c r="K22" s="30" t="s">
        <v>196</v>
      </c>
    </row>
    <row r="23" spans="1:11" x14ac:dyDescent="0.25">
      <c r="A23">
        <v>18</v>
      </c>
      <c r="B23" s="30" t="s">
        <v>146</v>
      </c>
      <c r="C23" s="30"/>
      <c r="D23" s="28"/>
      <c r="E23" s="30"/>
      <c r="F23" s="39">
        <f>500</f>
        <v>500</v>
      </c>
      <c r="G23" s="30"/>
      <c r="H23" s="30"/>
      <c r="I23" s="30"/>
      <c r="J23" s="30"/>
      <c r="K23" s="30"/>
    </row>
    <row r="24" spans="1:11" x14ac:dyDescent="0.25">
      <c r="A24" s="14">
        <v>19</v>
      </c>
      <c r="B24" s="30" t="s">
        <v>147</v>
      </c>
      <c r="C24" s="30"/>
      <c r="D24" s="28"/>
      <c r="E24" s="30"/>
      <c r="F24" s="39"/>
      <c r="G24" s="30"/>
      <c r="H24" s="30"/>
      <c r="I24" s="30">
        <v>1665</v>
      </c>
      <c r="J24" s="30"/>
      <c r="K24" s="30" t="s">
        <v>143</v>
      </c>
    </row>
    <row r="25" spans="1:11" x14ac:dyDescent="0.25">
      <c r="A25" s="14">
        <v>20</v>
      </c>
      <c r="B25" s="30" t="s">
        <v>145</v>
      </c>
      <c r="C25" s="30"/>
      <c r="D25" s="28"/>
      <c r="E25" s="30"/>
      <c r="F25" s="39"/>
      <c r="G25" s="30"/>
      <c r="H25" s="30"/>
      <c r="I25" s="30">
        <v>300</v>
      </c>
      <c r="J25" s="30"/>
      <c r="K25" s="30" t="s">
        <v>143</v>
      </c>
    </row>
    <row r="26" spans="1:11" x14ac:dyDescent="0.25">
      <c r="A26" s="14">
        <v>21</v>
      </c>
      <c r="B26" s="30" t="s">
        <v>144</v>
      </c>
      <c r="C26" s="30"/>
      <c r="D26" s="28"/>
      <c r="E26" s="30"/>
      <c r="F26" s="39"/>
      <c r="G26" s="30"/>
      <c r="H26" s="30"/>
      <c r="I26" s="30">
        <v>4104</v>
      </c>
      <c r="J26" s="30"/>
      <c r="K26" s="30" t="s">
        <v>143</v>
      </c>
    </row>
    <row r="27" spans="1:11" x14ac:dyDescent="0.25">
      <c r="A27" s="14">
        <v>22</v>
      </c>
      <c r="B27" s="30" t="s">
        <v>141</v>
      </c>
      <c r="C27" s="30"/>
      <c r="D27" s="28"/>
      <c r="E27" s="30"/>
      <c r="F27" s="39"/>
      <c r="G27" s="30"/>
      <c r="H27" s="30"/>
      <c r="I27" s="30">
        <v>1290</v>
      </c>
      <c r="J27" s="30"/>
      <c r="K27" s="30" t="s">
        <v>143</v>
      </c>
    </row>
    <row r="28" spans="1:11" x14ac:dyDescent="0.25">
      <c r="A28" s="14">
        <v>23</v>
      </c>
      <c r="B28" s="30" t="s">
        <v>151</v>
      </c>
      <c r="C28" s="30"/>
      <c r="D28" s="28"/>
      <c r="E28" s="30"/>
      <c r="F28" s="39"/>
      <c r="G28" s="30"/>
      <c r="H28" s="30"/>
      <c r="I28" s="30">
        <v>2000</v>
      </c>
      <c r="J28" s="30"/>
      <c r="K28" s="30" t="s">
        <v>143</v>
      </c>
    </row>
    <row r="29" spans="1:11" x14ac:dyDescent="0.25">
      <c r="A29" s="14">
        <v>24</v>
      </c>
      <c r="B29" s="30" t="s">
        <v>155</v>
      </c>
      <c r="C29" s="30"/>
      <c r="D29" s="28"/>
      <c r="E29" s="30"/>
      <c r="F29" s="39">
        <v>120</v>
      </c>
      <c r="G29" s="30"/>
      <c r="H29" s="30"/>
      <c r="I29" s="30">
        <v>3725</v>
      </c>
      <c r="J29" s="30"/>
      <c r="K29" s="30" t="s">
        <v>198</v>
      </c>
    </row>
    <row r="30" spans="1:11" ht="18" customHeight="1" x14ac:dyDescent="0.25">
      <c r="A30" s="14">
        <v>25</v>
      </c>
      <c r="B30" s="30" t="s">
        <v>156</v>
      </c>
      <c r="C30" s="30"/>
      <c r="D30" s="28"/>
      <c r="E30" s="30"/>
      <c r="F30" s="39"/>
      <c r="G30" s="30"/>
      <c r="H30" s="30"/>
      <c r="I30" s="30">
        <v>4000</v>
      </c>
      <c r="J30" s="30"/>
      <c r="K30" s="30" t="s">
        <v>143</v>
      </c>
    </row>
    <row r="31" spans="1:11" ht="15.75" customHeight="1" x14ac:dyDescent="0.25">
      <c r="A31" s="14">
        <v>26</v>
      </c>
      <c r="B31" s="30" t="s">
        <v>164</v>
      </c>
      <c r="C31" s="14"/>
      <c r="D31" s="14"/>
      <c r="E31" s="14"/>
      <c r="F31" s="14"/>
      <c r="G31" s="14"/>
      <c r="H31" s="14"/>
      <c r="I31" s="30">
        <v>1500</v>
      </c>
      <c r="J31" s="30"/>
      <c r="K31" s="30"/>
    </row>
    <row r="32" spans="1:11" ht="20.25" customHeight="1" x14ac:dyDescent="0.25">
      <c r="I32" s="23">
        <f>SUM(I6:I31)</f>
        <v>75459</v>
      </c>
      <c r="J32" s="38" t="s">
        <v>191</v>
      </c>
    </row>
    <row r="45" spans="2:4" x14ac:dyDescent="0.25">
      <c r="B45" s="2">
        <v>46203</v>
      </c>
      <c r="C45" t="s">
        <v>167</v>
      </c>
      <c r="D45" t="s">
        <v>197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6:B22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G20" sqref="G20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65" t="s">
        <v>37</v>
      </c>
      <c r="B1" s="66"/>
      <c r="C1" s="66"/>
      <c r="D1" s="66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6150</v>
      </c>
      <c r="I3" s="23" t="s">
        <v>123</v>
      </c>
    </row>
    <row r="4" spans="1:9" x14ac:dyDescent="0.25">
      <c r="A4" s="14" t="s">
        <v>91</v>
      </c>
      <c r="B4" s="20" t="s">
        <v>78</v>
      </c>
      <c r="C4" s="28">
        <v>100</v>
      </c>
      <c r="D4" s="39"/>
    </row>
    <row r="5" spans="1:9" x14ac:dyDescent="0.25">
      <c r="A5" s="14" t="s">
        <v>91</v>
      </c>
      <c r="B5" s="20" t="s">
        <v>81</v>
      </c>
      <c r="C5" s="28">
        <v>25</v>
      </c>
      <c r="D5" s="39"/>
    </row>
    <row r="6" spans="1:9" x14ac:dyDescent="0.25">
      <c r="A6" s="14" t="s">
        <v>103</v>
      </c>
      <c r="B6" s="20" t="s">
        <v>88</v>
      </c>
      <c r="C6" s="28">
        <v>100</v>
      </c>
      <c r="D6" s="39"/>
    </row>
    <row r="7" spans="1:9" x14ac:dyDescent="0.25">
      <c r="A7" s="14" t="s">
        <v>103</v>
      </c>
      <c r="B7" s="20" t="s">
        <v>81</v>
      </c>
      <c r="C7" s="28">
        <v>70</v>
      </c>
      <c r="D7" s="39"/>
    </row>
    <row r="8" spans="1:9" x14ac:dyDescent="0.25">
      <c r="A8" s="14" t="s">
        <v>103</v>
      </c>
      <c r="B8" s="20" t="s">
        <v>104</v>
      </c>
      <c r="C8" s="28">
        <v>20</v>
      </c>
      <c r="D8" s="39"/>
    </row>
    <row r="9" spans="1:9" x14ac:dyDescent="0.25">
      <c r="A9" s="61" t="s">
        <v>103</v>
      </c>
      <c r="B9" s="61" t="s">
        <v>194</v>
      </c>
      <c r="C9" s="63">
        <v>20</v>
      </c>
      <c r="D9" s="62"/>
    </row>
    <row r="10" spans="1:9" x14ac:dyDescent="0.25">
      <c r="A10" s="14" t="s">
        <v>103</v>
      </c>
      <c r="B10" s="20" t="s">
        <v>105</v>
      </c>
      <c r="C10" s="28">
        <v>20</v>
      </c>
      <c r="D10" s="39"/>
    </row>
    <row r="11" spans="1:9" x14ac:dyDescent="0.25">
      <c r="A11" s="14" t="s">
        <v>103</v>
      </c>
      <c r="B11" s="20" t="s">
        <v>80</v>
      </c>
      <c r="C11" s="28">
        <v>20</v>
      </c>
      <c r="D11" s="39"/>
    </row>
    <row r="12" spans="1:9" x14ac:dyDescent="0.25">
      <c r="A12" s="14" t="s">
        <v>103</v>
      </c>
      <c r="B12" s="20" t="s">
        <v>106</v>
      </c>
      <c r="C12" s="28">
        <v>30</v>
      </c>
      <c r="D12" s="39"/>
    </row>
    <row r="13" spans="1:9" x14ac:dyDescent="0.25">
      <c r="A13" s="61" t="s">
        <v>103</v>
      </c>
      <c r="B13" s="61" t="s">
        <v>194</v>
      </c>
      <c r="C13" s="63">
        <v>45</v>
      </c>
      <c r="D13" s="62"/>
    </row>
    <row r="14" spans="1:9" x14ac:dyDescent="0.25">
      <c r="A14" s="14" t="s">
        <v>103</v>
      </c>
      <c r="B14" s="20" t="s">
        <v>81</v>
      </c>
      <c r="C14" s="28">
        <v>20</v>
      </c>
      <c r="D14" s="39"/>
      <c r="G14" s="42"/>
    </row>
    <row r="15" spans="1:9" x14ac:dyDescent="0.25">
      <c r="A15" s="14" t="s">
        <v>103</v>
      </c>
      <c r="B15" s="20" t="s">
        <v>82</v>
      </c>
      <c r="C15" s="28">
        <v>20</v>
      </c>
      <c r="D15" s="39"/>
    </row>
    <row r="16" spans="1:9" x14ac:dyDescent="0.25">
      <c r="A16" s="14" t="s">
        <v>103</v>
      </c>
      <c r="B16" s="20" t="s">
        <v>83</v>
      </c>
      <c r="C16" s="28">
        <v>30</v>
      </c>
      <c r="D16" s="39"/>
    </row>
    <row r="17" spans="1:4" x14ac:dyDescent="0.25">
      <c r="A17" s="14" t="s">
        <v>117</v>
      </c>
      <c r="B17" s="20" t="s">
        <v>88</v>
      </c>
      <c r="C17" s="28">
        <v>200</v>
      </c>
      <c r="D17" s="39"/>
    </row>
    <row r="18" spans="1:4" x14ac:dyDescent="0.25">
      <c r="A18" s="14" t="s">
        <v>117</v>
      </c>
      <c r="B18" s="20" t="s">
        <v>80</v>
      </c>
      <c r="C18" s="28">
        <v>250</v>
      </c>
      <c r="D18" s="39"/>
    </row>
    <row r="19" spans="1:4" x14ac:dyDescent="0.25">
      <c r="A19" s="14" t="s">
        <v>117</v>
      </c>
      <c r="B19" s="20" t="s">
        <v>105</v>
      </c>
      <c r="C19" s="28">
        <v>100</v>
      </c>
      <c r="D19" s="39"/>
    </row>
    <row r="20" spans="1:4" x14ac:dyDescent="0.25">
      <c r="A20" s="14" t="s">
        <v>117</v>
      </c>
      <c r="B20" s="20" t="s">
        <v>81</v>
      </c>
      <c r="C20" s="28">
        <v>15</v>
      </c>
      <c r="D20" s="39"/>
    </row>
    <row r="21" spans="1:4" x14ac:dyDescent="0.25">
      <c r="A21" s="16" t="s">
        <v>117</v>
      </c>
      <c r="B21" s="20" t="s">
        <v>104</v>
      </c>
      <c r="C21" s="25">
        <v>100</v>
      </c>
      <c r="D21" s="39" t="s">
        <v>135</v>
      </c>
    </row>
    <row r="22" spans="1:4" x14ac:dyDescent="0.25">
      <c r="A22" s="16" t="s">
        <v>117</v>
      </c>
      <c r="B22" s="20" t="s">
        <v>80</v>
      </c>
      <c r="C22" s="25">
        <v>100</v>
      </c>
      <c r="D22" s="39" t="s">
        <v>135</v>
      </c>
    </row>
    <row r="23" spans="1:4" x14ac:dyDescent="0.25">
      <c r="A23" s="16">
        <v>46203</v>
      </c>
      <c r="B23" s="20" t="s">
        <v>88</v>
      </c>
      <c r="C23" s="25">
        <v>4065</v>
      </c>
      <c r="D23" s="39"/>
    </row>
    <row r="24" spans="1:4" x14ac:dyDescent="0.25">
      <c r="A24" s="16">
        <v>46203</v>
      </c>
      <c r="B24" s="20" t="s">
        <v>86</v>
      </c>
      <c r="C24" s="25">
        <v>200</v>
      </c>
      <c r="D24" s="39"/>
    </row>
    <row r="25" spans="1:4" x14ac:dyDescent="0.25">
      <c r="A25" s="16">
        <v>46203</v>
      </c>
      <c r="B25" s="20" t="s">
        <v>104</v>
      </c>
      <c r="C25" s="25">
        <v>50</v>
      </c>
      <c r="D25" s="39"/>
    </row>
    <row r="26" spans="1:4" x14ac:dyDescent="0.25">
      <c r="A26" s="16">
        <v>46203</v>
      </c>
      <c r="B26" s="20" t="s">
        <v>81</v>
      </c>
      <c r="C26" s="25">
        <v>25</v>
      </c>
      <c r="D26" s="39"/>
    </row>
    <row r="27" spans="1:4" x14ac:dyDescent="0.25">
      <c r="A27" s="16">
        <v>46203</v>
      </c>
      <c r="B27" s="20" t="s">
        <v>80</v>
      </c>
      <c r="C27" s="25">
        <v>110</v>
      </c>
      <c r="D27" s="39"/>
    </row>
    <row r="28" spans="1:4" x14ac:dyDescent="0.25">
      <c r="A28" s="48">
        <v>46203</v>
      </c>
      <c r="B28" s="30" t="s">
        <v>195</v>
      </c>
      <c r="C28" s="30">
        <v>115</v>
      </c>
      <c r="D28" s="30"/>
    </row>
    <row r="29" spans="1:4" x14ac:dyDescent="0.25">
      <c r="A29" s="16">
        <v>46203</v>
      </c>
      <c r="B29" s="20" t="s">
        <v>82</v>
      </c>
      <c r="C29" s="25">
        <v>100</v>
      </c>
      <c r="D29" s="39"/>
    </row>
    <row r="30" spans="1:4" x14ac:dyDescent="0.25">
      <c r="A30" s="16">
        <v>46203</v>
      </c>
      <c r="B30" s="20" t="s">
        <v>78</v>
      </c>
      <c r="C30" s="25">
        <v>100</v>
      </c>
      <c r="D30" s="39"/>
    </row>
    <row r="31" spans="1:4" x14ac:dyDescent="0.25">
      <c r="A31" s="16">
        <v>46203</v>
      </c>
      <c r="B31" s="20" t="s">
        <v>106</v>
      </c>
      <c r="C31" s="25">
        <v>100</v>
      </c>
      <c r="D31" s="39" t="s">
        <v>136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I35" sqref="I35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65" t="s">
        <v>38</v>
      </c>
      <c r="B1" s="66"/>
      <c r="C1" s="66"/>
      <c r="D1" s="66"/>
      <c r="E1" s="66"/>
      <c r="F1" s="66"/>
      <c r="G1" s="66"/>
      <c r="H1" s="66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65" t="s">
        <v>59</v>
      </c>
      <c r="B1" s="66"/>
      <c r="C1" s="66"/>
      <c r="D1" s="66"/>
      <c r="E1" s="66"/>
      <c r="F1" s="66"/>
      <c r="G1" s="66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N9" sqref="N9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65" t="s">
        <v>65</v>
      </c>
      <c r="B1" s="66"/>
      <c r="C1" s="66"/>
      <c r="D1" s="66"/>
      <c r="E1" s="66"/>
      <c r="F1" s="66"/>
      <c r="G1" s="66"/>
      <c r="H1" s="66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7"/>
  <sheetViews>
    <sheetView workbookViewId="0">
      <selection activeCell="G24" sqref="G24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1" spans="1:7" ht="24" x14ac:dyDescent="0.25">
      <c r="A1" s="65" t="s">
        <v>71</v>
      </c>
      <c r="B1" s="66"/>
      <c r="C1" s="66"/>
      <c r="D1" s="66"/>
      <c r="E1" s="66"/>
      <c r="F1" s="66"/>
      <c r="G1" s="66"/>
    </row>
    <row r="3" spans="1:7" x14ac:dyDescent="0.25">
      <c r="A3" s="27" t="s">
        <v>122</v>
      </c>
      <c r="B3" s="27" t="s">
        <v>124</v>
      </c>
      <c r="C3" s="27" t="s">
        <v>125</v>
      </c>
      <c r="D3" s="27" t="s">
        <v>126</v>
      </c>
      <c r="E3" s="27" t="s">
        <v>127</v>
      </c>
      <c r="F3" s="27" t="s">
        <v>128</v>
      </c>
      <c r="G3" s="27" t="s">
        <v>129</v>
      </c>
    </row>
    <row r="4" spans="1:7" ht="24.75" customHeight="1" x14ac:dyDescent="0.25">
      <c r="A4" s="46" t="s">
        <v>31</v>
      </c>
      <c r="B4" s="46" t="s">
        <v>72</v>
      </c>
      <c r="C4" s="46" t="s">
        <v>69</v>
      </c>
      <c r="D4" s="46" t="s">
        <v>158</v>
      </c>
      <c r="E4" s="46" t="s">
        <v>73</v>
      </c>
      <c r="F4" s="46" t="s">
        <v>74</v>
      </c>
      <c r="G4" s="46" t="s">
        <v>9</v>
      </c>
    </row>
    <row r="5" spans="1:7" ht="32.25" customHeight="1" x14ac:dyDescent="0.3">
      <c r="A5" s="45">
        <v>6</v>
      </c>
      <c r="B5" s="43">
        <f>SUM('تقفيلة اليوم'!I17:I40)</f>
        <v>246428</v>
      </c>
      <c r="C5" s="43">
        <f>SUM('المشتريات اليومية'!G36)</f>
        <v>163610</v>
      </c>
      <c r="D5" s="43">
        <v>29085</v>
      </c>
      <c r="E5" s="43">
        <f>SUM(الرواتب!I6:I31)</f>
        <v>75459</v>
      </c>
      <c r="F5" s="43">
        <v>-15401</v>
      </c>
      <c r="G5" s="44"/>
    </row>
    <row r="6" spans="1:7" ht="13.5" customHeight="1" x14ac:dyDescent="0.25">
      <c r="B6" s="1"/>
      <c r="C6" s="1"/>
      <c r="D6" s="1"/>
      <c r="E6" s="1"/>
      <c r="F6" s="1"/>
    </row>
    <row r="7" spans="1:7" x14ac:dyDescent="0.25">
      <c r="B7" s="1"/>
      <c r="C7" s="1"/>
      <c r="D7" s="1"/>
      <c r="E7" s="1"/>
      <c r="F7" s="1"/>
    </row>
  </sheetData>
  <mergeCells count="1">
    <mergeCell ref="A1:G1"/>
  </mergeCells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الموظفين</vt:lpstr>
      <vt:lpstr>الإيرادات اليومية</vt:lpstr>
      <vt:lpstr>المشتريات اليومية</vt:lpstr>
      <vt:lpstr>المصروفات</vt:lpstr>
      <vt:lpstr>تقفيلة اليوم</vt:lpstr>
      <vt:lpstr>الرواتب</vt:lpstr>
      <vt:lpstr>سلف الموظفين</vt:lpstr>
      <vt:lpstr>المخزون</vt:lpstr>
      <vt:lpstr>الجرد</vt:lpstr>
      <vt:lpstr>الموردين</vt:lpstr>
      <vt:lpstr>ملخص شهري</vt:lpstr>
      <vt:lpstr>الرواتب!Print_Area</vt:lpstr>
      <vt:lpstr>المصروفات!Print_Area</vt:lpstr>
      <vt:lpstr>'تقفيلة اليوم'!Print_Area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2026-07-09T12:54:27Z</cp:lastPrinted>
  <dcterms:created xsi:type="dcterms:W3CDTF">2026-06-27T05:51:50Z</dcterms:created>
  <dcterms:modified xsi:type="dcterms:W3CDTF">2026-07-10T14:18:24Z</dcterms:modified>
</cp:coreProperties>
</file>