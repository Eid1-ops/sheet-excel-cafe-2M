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ST\OneDrive\سطح المكتب\cafe\"/>
    </mc:Choice>
  </mc:AlternateContent>
  <xr:revisionPtr revIDLastSave="0" documentId="13_ncr:1_{7040915D-86D7-435C-8011-776D657F5636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الموظفين" sheetId="2" r:id="rId1"/>
    <sheet name="الإيرادات اليومية" sheetId="3" r:id="rId2"/>
    <sheet name="المشتريات اليومية" sheetId="4" r:id="rId3"/>
    <sheet name="المصروفات" sheetId="5" r:id="rId4"/>
    <sheet name="تقفيلة اليوم" sheetId="6" r:id="rId5"/>
    <sheet name="الرواتب" sheetId="7" r:id="rId6"/>
    <sheet name="سلف الموظفين" sheetId="8" r:id="rId7"/>
    <sheet name="المخزون" sheetId="10" r:id="rId8"/>
    <sheet name="الجرد" sheetId="11" r:id="rId9"/>
    <sheet name="الموردين" sheetId="12" r:id="rId10"/>
    <sheet name="ملخص شهري" sheetId="13" r:id="rId11"/>
  </sheets>
  <definedNames>
    <definedName name="_xlnm.Print_Area" localSheetId="5">الرواتب!$A$1:$K$35</definedName>
    <definedName name="_xlnm.Print_Area" localSheetId="3">المصروفات!$A$1:$D$20</definedName>
    <definedName name="_xlnm.Print_Area" localSheetId="4">'تقفيلة اليوم'!$A$6:$J$42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7" l="1"/>
  <c r="I20" i="7"/>
  <c r="I41" i="6"/>
  <c r="G36" i="4"/>
  <c r="I21" i="7"/>
  <c r="F24" i="7" l="1"/>
  <c r="F12" i="7"/>
  <c r="F14" i="7"/>
  <c r="F6" i="7"/>
  <c r="G37" i="6"/>
  <c r="C38" i="6"/>
  <c r="D38" i="6"/>
  <c r="F38" i="6"/>
  <c r="G38" i="6"/>
  <c r="H38" i="6"/>
  <c r="D39" i="6"/>
  <c r="F39" i="6"/>
  <c r="G39" i="6"/>
  <c r="H39" i="6"/>
  <c r="I39" i="6"/>
  <c r="D40" i="6"/>
  <c r="F40" i="6"/>
  <c r="G40" i="6"/>
  <c r="H40" i="6"/>
  <c r="I40" i="6"/>
  <c r="I50" i="6"/>
  <c r="I53" i="6"/>
  <c r="E5" i="13"/>
  <c r="C20" i="5"/>
  <c r="C6" i="5"/>
  <c r="G23" i="4" l="1"/>
  <c r="G21" i="4"/>
  <c r="G19" i="4"/>
  <c r="G20" i="4"/>
  <c r="C42" i="5" l="1"/>
  <c r="B5" i="13"/>
  <c r="F34" i="3"/>
  <c r="H3" i="8"/>
  <c r="G18" i="4"/>
  <c r="G17" i="4"/>
  <c r="G15" i="4"/>
  <c r="G14" i="4"/>
  <c r="G13" i="4"/>
  <c r="E4" i="11"/>
  <c r="F30" i="3"/>
  <c r="E31" i="3"/>
  <c r="C31" i="3"/>
  <c r="C34" i="3" s="1"/>
  <c r="F18" i="12"/>
  <c r="H18" i="12" s="1"/>
  <c r="F17" i="12"/>
  <c r="H17" i="12" s="1"/>
  <c r="F16" i="12"/>
  <c r="H16" i="12" s="1"/>
  <c r="F15" i="12"/>
  <c r="H15" i="12" s="1"/>
  <c r="F14" i="12"/>
  <c r="H14" i="12" s="1"/>
  <c r="F13" i="12"/>
  <c r="H13" i="12" s="1"/>
  <c r="F12" i="12"/>
  <c r="H12" i="12" s="1"/>
  <c r="F11" i="12"/>
  <c r="H11" i="12" s="1"/>
  <c r="F10" i="12"/>
  <c r="H10" i="12" s="1"/>
  <c r="F9" i="12"/>
  <c r="H9" i="12" s="1"/>
  <c r="F8" i="12"/>
  <c r="H8" i="12" s="1"/>
  <c r="F7" i="12"/>
  <c r="H7" i="12" s="1"/>
  <c r="F6" i="12"/>
  <c r="H6" i="12" s="1"/>
  <c r="F4" i="12"/>
  <c r="H4" i="12" s="1"/>
  <c r="F5" i="12"/>
  <c r="H5" i="12" s="1"/>
  <c r="F53" i="11"/>
  <c r="E53" i="11"/>
  <c r="F52" i="11"/>
  <c r="E52" i="11"/>
  <c r="F51" i="11"/>
  <c r="E51" i="11"/>
  <c r="F50" i="11"/>
  <c r="E50" i="11"/>
  <c r="F49" i="11"/>
  <c r="E49" i="11"/>
  <c r="F48" i="11"/>
  <c r="E48" i="11"/>
  <c r="F47" i="11"/>
  <c r="E47" i="11"/>
  <c r="F46" i="11"/>
  <c r="E46" i="11"/>
  <c r="F45" i="11"/>
  <c r="E45" i="11"/>
  <c r="F44" i="11"/>
  <c r="E44" i="11"/>
  <c r="F43" i="11"/>
  <c r="E43" i="11"/>
  <c r="F42" i="11"/>
  <c r="E42" i="11"/>
  <c r="F41" i="11"/>
  <c r="E41" i="11"/>
  <c r="F40" i="11"/>
  <c r="E40" i="11"/>
  <c r="F39" i="11"/>
  <c r="E39" i="11"/>
  <c r="F38" i="11"/>
  <c r="E38" i="11"/>
  <c r="F37" i="11"/>
  <c r="E37" i="11"/>
  <c r="F36" i="11"/>
  <c r="E36" i="11"/>
  <c r="F35" i="11"/>
  <c r="E35" i="11"/>
  <c r="F34" i="11"/>
  <c r="E34" i="11"/>
  <c r="F33" i="11"/>
  <c r="E33" i="11"/>
  <c r="F32" i="11"/>
  <c r="E32" i="11"/>
  <c r="F31" i="11"/>
  <c r="E31" i="11"/>
  <c r="F30" i="11"/>
  <c r="E30" i="11"/>
  <c r="F29" i="11"/>
  <c r="E29" i="11"/>
  <c r="F28" i="11"/>
  <c r="E28" i="11"/>
  <c r="F27" i="11"/>
  <c r="E27" i="11"/>
  <c r="F26" i="11"/>
  <c r="E26" i="11"/>
  <c r="F25" i="11"/>
  <c r="E25" i="11"/>
  <c r="F24" i="11"/>
  <c r="E24" i="11"/>
  <c r="F23" i="11"/>
  <c r="E23" i="11"/>
  <c r="F22" i="11"/>
  <c r="E22" i="11"/>
  <c r="F21" i="11"/>
  <c r="E21" i="11"/>
  <c r="F20" i="11"/>
  <c r="E20" i="11"/>
  <c r="F19" i="11"/>
  <c r="E19" i="11"/>
  <c r="F18" i="11"/>
  <c r="E18" i="11"/>
  <c r="F17" i="11"/>
  <c r="E17" i="11"/>
  <c r="F16" i="11"/>
  <c r="E16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F6" i="11"/>
  <c r="E6" i="11"/>
  <c r="F5" i="11"/>
  <c r="E5" i="11"/>
  <c r="F4" i="11"/>
  <c r="F20" i="10"/>
  <c r="E20" i="10"/>
  <c r="D20" i="10"/>
  <c r="G19" i="10"/>
  <c r="H19" i="10" s="1"/>
  <c r="G18" i="10"/>
  <c r="H18" i="10" s="1"/>
  <c r="H17" i="10"/>
  <c r="G17" i="10"/>
  <c r="G16" i="10"/>
  <c r="H16" i="10" s="1"/>
  <c r="G15" i="10"/>
  <c r="H15" i="10" s="1"/>
  <c r="H14" i="10"/>
  <c r="G14" i="10"/>
  <c r="G13" i="10"/>
  <c r="H13" i="10" s="1"/>
  <c r="G12" i="10"/>
  <c r="H12" i="10" s="1"/>
  <c r="G11" i="10"/>
  <c r="H11" i="10" s="1"/>
  <c r="G10" i="10"/>
  <c r="H10" i="10" s="1"/>
  <c r="G9" i="10"/>
  <c r="H9" i="10" s="1"/>
  <c r="G8" i="10"/>
  <c r="H8" i="10" s="1"/>
  <c r="G7" i="10"/>
  <c r="H7" i="10" s="1"/>
  <c r="G6" i="10"/>
  <c r="H6" i="10" s="1"/>
  <c r="G5" i="10"/>
  <c r="G20" i="10" s="1"/>
  <c r="E34" i="3"/>
  <c r="D34" i="3"/>
  <c r="F33" i="3"/>
  <c r="F32" i="3"/>
  <c r="F31" i="3"/>
  <c r="B39" i="4"/>
  <c r="B38" i="4"/>
  <c r="B37" i="4"/>
  <c r="C5" i="13" l="1"/>
  <c r="E16" i="13" s="1"/>
  <c r="E21" i="13" s="1"/>
  <c r="F5" i="13" s="1"/>
  <c r="H5" i="10"/>
  <c r="H20" i="10"/>
</calcChain>
</file>

<file path=xl/sharedStrings.xml><?xml version="1.0" encoding="utf-8"?>
<sst xmlns="http://schemas.openxmlformats.org/spreadsheetml/2006/main" count="423" uniqueCount="198">
  <si>
    <t>المشتريات اليومية</t>
  </si>
  <si>
    <t>التاريخ</t>
  </si>
  <si>
    <t>اليوم</t>
  </si>
  <si>
    <t>اسم الصنف</t>
  </si>
  <si>
    <t>اسم المورد</t>
  </si>
  <si>
    <t>الكمية</t>
  </si>
  <si>
    <t>سعر الوحدة</t>
  </si>
  <si>
    <t>الإجمالي</t>
  </si>
  <si>
    <t>المتبقي</t>
  </si>
  <si>
    <t>ملاحظات</t>
  </si>
  <si>
    <t>صافي اليوم</t>
  </si>
  <si>
    <t>بيانات الموظفين</t>
  </si>
  <si>
    <t>م</t>
  </si>
  <si>
    <t>اسم الموظف</t>
  </si>
  <si>
    <t>الوظيفة</t>
  </si>
  <si>
    <t>رقم التلفون</t>
  </si>
  <si>
    <t>جدول الإيرادات اليومية</t>
  </si>
  <si>
    <t>كاش</t>
  </si>
  <si>
    <t>الاثنين</t>
  </si>
  <si>
    <t>الثلاثاء</t>
  </si>
  <si>
    <t>الأربعاء</t>
  </si>
  <si>
    <t>الخميس</t>
  </si>
  <si>
    <t>الجمعة</t>
  </si>
  <si>
    <t>السبت</t>
  </si>
  <si>
    <t>الأحد</t>
  </si>
  <si>
    <t>الفئة</t>
  </si>
  <si>
    <t>المبلغ</t>
  </si>
  <si>
    <t>مياه</t>
  </si>
  <si>
    <t>تقفيلة اليوم</t>
  </si>
  <si>
    <t>المشتريات</t>
  </si>
  <si>
    <t>المصروفات</t>
  </si>
  <si>
    <t>الشهر</t>
  </si>
  <si>
    <t>الراتب الأساسي</t>
  </si>
  <si>
    <t>إضافي</t>
  </si>
  <si>
    <t>قيمة السلفة</t>
  </si>
  <si>
    <t>خصومات</t>
  </si>
  <si>
    <t>صافي الراتب</t>
  </si>
  <si>
    <t>سلف الموظفين</t>
  </si>
  <si>
    <t>المخزون</t>
  </si>
  <si>
    <t>ملاحظة: يتم تحديث الوارد من شيت المشتريات اليومية، والصادر من شيت الجرد</t>
  </si>
  <si>
    <t>رصيد أول المدة</t>
  </si>
  <si>
    <t>الوارد</t>
  </si>
  <si>
    <t>الصادر</t>
  </si>
  <si>
    <t>الرصيد الحالي</t>
  </si>
  <si>
    <t>قيمة الرصيد</t>
  </si>
  <si>
    <t>قهوة</t>
  </si>
  <si>
    <t>حليب</t>
  </si>
  <si>
    <t>سكر</t>
  </si>
  <si>
    <t>شاي</t>
  </si>
  <si>
    <t>عصائر</t>
  </si>
  <si>
    <t>مشروبات غازية</t>
  </si>
  <si>
    <t>مستلزمات نظافة</t>
  </si>
  <si>
    <t>أكواب ورقية</t>
  </si>
  <si>
    <t>بسكويت/حلويات</t>
  </si>
  <si>
    <t>زيت طهي</t>
  </si>
  <si>
    <t>دقيق</t>
  </si>
  <si>
    <t>زبدة/كريمة</t>
  </si>
  <si>
    <t>شوكولاتة</t>
  </si>
  <si>
    <t>مكسرات</t>
  </si>
  <si>
    <t>جرد المخزون</t>
  </si>
  <si>
    <t>الصنف</t>
  </si>
  <si>
    <t>رصيد النظام</t>
  </si>
  <si>
    <t>الرصيد الفعلي</t>
  </si>
  <si>
    <t>الفرق</t>
  </si>
  <si>
    <t>الحالة</t>
  </si>
  <si>
    <t>بيانات الموردين</t>
  </si>
  <si>
    <t>رقم الهاتف</t>
  </si>
  <si>
    <t>العنوان</t>
  </si>
  <si>
    <t>المنتجات الموردة</t>
  </si>
  <si>
    <t>إجمالي المشتريات</t>
  </si>
  <si>
    <t>مدفوع</t>
  </si>
  <si>
    <t>الملخص الشهري</t>
  </si>
  <si>
    <t>إجمالي الإيرادات</t>
  </si>
  <si>
    <t>إجمالي الرواتب</t>
  </si>
  <si>
    <t>صافي الربح/الخسارة</t>
  </si>
  <si>
    <t>ادم ياسر محمد</t>
  </si>
  <si>
    <t>يوسف محمد شحته</t>
  </si>
  <si>
    <t>محمود عثمان فؤاد</t>
  </si>
  <si>
    <t>عبد الله محمد عبد المنعم</t>
  </si>
  <si>
    <t>سيف فخري فوزي</t>
  </si>
  <si>
    <t>محمد صبري محمد</t>
  </si>
  <si>
    <t xml:space="preserve">عمار محمد صبحي عبد الفتاح </t>
  </si>
  <si>
    <t>عبد الله الغذالي</t>
  </si>
  <si>
    <t xml:space="preserve">رياض حامد رياض عطية </t>
  </si>
  <si>
    <t xml:space="preserve">سيف عصام  طايل </t>
  </si>
  <si>
    <t xml:space="preserve">منة الله سيف محمد راغب </t>
  </si>
  <si>
    <t>احمد ايمن رجب</t>
  </si>
  <si>
    <t>عيد نوح عيد نوح صالح</t>
  </si>
  <si>
    <t>محمد احمد صلاح احمد</t>
  </si>
  <si>
    <t>فودافون كاش</t>
  </si>
  <si>
    <t>انستا باي</t>
  </si>
  <si>
    <t>27/6</t>
  </si>
  <si>
    <t>السلفة</t>
  </si>
  <si>
    <t>دليفري</t>
  </si>
  <si>
    <t>المبلغ المدفوع</t>
  </si>
  <si>
    <t>المبلغ المتبقى</t>
  </si>
  <si>
    <t>السعر</t>
  </si>
  <si>
    <t>كاشير</t>
  </si>
  <si>
    <t>محاسب</t>
  </si>
  <si>
    <t xml:space="preserve">بارستا </t>
  </si>
  <si>
    <t>انستا</t>
  </si>
  <si>
    <t xml:space="preserve">يوجد عجز في 2 جنيه </t>
  </si>
  <si>
    <t>العماوي</t>
  </si>
  <si>
    <t>28/6</t>
  </si>
  <si>
    <t>محمود محمد</t>
  </si>
  <si>
    <t>محمد رافت</t>
  </si>
  <si>
    <t>احمد هش هش</t>
  </si>
  <si>
    <t>دفتر حضور و انصراف</t>
  </si>
  <si>
    <t>علبة اقلام</t>
  </si>
  <si>
    <t>سلك نت +  دايفري</t>
  </si>
  <si>
    <t>الاحد</t>
  </si>
  <si>
    <t>االاحد</t>
  </si>
  <si>
    <t>دليفري فواكه الهنا</t>
  </si>
  <si>
    <t>يوجد 100 جنية تصفية  لي حساب عمرو عماد</t>
  </si>
  <si>
    <t>دليفري العماوي</t>
  </si>
  <si>
    <t>مصاريف سيستم</t>
  </si>
  <si>
    <t>اختبار سيستم</t>
  </si>
  <si>
    <t>29/6</t>
  </si>
  <si>
    <t>تشوكلت كيك</t>
  </si>
  <si>
    <t>الاجمالي</t>
  </si>
  <si>
    <t>اجمالي المصروفات</t>
  </si>
  <si>
    <t>Column1</t>
  </si>
  <si>
    <t xml:space="preserve">اجمالي السلف </t>
  </si>
  <si>
    <t>Column2</t>
  </si>
  <si>
    <t>Column3</t>
  </si>
  <si>
    <t>Column4</t>
  </si>
  <si>
    <t>Column5</t>
  </si>
  <si>
    <t>Column6</t>
  </si>
  <si>
    <t>Column7</t>
  </si>
  <si>
    <t>محمد اشرف</t>
  </si>
  <si>
    <t>الاربع</t>
  </si>
  <si>
    <t>الاتنين</t>
  </si>
  <si>
    <t>الاربعاء</t>
  </si>
  <si>
    <t xml:space="preserve">الخميس </t>
  </si>
  <si>
    <t>خصم اكل الاوردر</t>
  </si>
  <si>
    <t xml:space="preserve">بدل مواصلات </t>
  </si>
  <si>
    <t>تورته</t>
  </si>
  <si>
    <t>الهنا</t>
  </si>
  <si>
    <t>فواكه</t>
  </si>
  <si>
    <t xml:space="preserve">فواكه </t>
  </si>
  <si>
    <t>محمد عزت</t>
  </si>
  <si>
    <t>سيف عصام</t>
  </si>
  <si>
    <t>تصفية</t>
  </si>
  <si>
    <t>زياد تامر</t>
  </si>
  <si>
    <t>فتحي</t>
  </si>
  <si>
    <t>محمد صبحي البهنسي</t>
  </si>
  <si>
    <t>ابراهيم بدر</t>
  </si>
  <si>
    <t>المبلغ  المدفوع</t>
  </si>
  <si>
    <t>الاسم</t>
  </si>
  <si>
    <t>ابراهيم  بدر</t>
  </si>
  <si>
    <t>ح ممدوح</t>
  </si>
  <si>
    <t>محمدعزت</t>
  </si>
  <si>
    <t xml:space="preserve">عمار محمد صبحي  </t>
  </si>
  <si>
    <t>محمود محمد صبحي</t>
  </si>
  <si>
    <t>عبد الله الغزولي</t>
  </si>
  <si>
    <t>محمد اسامة</t>
  </si>
  <si>
    <t>جدول رواتب شهر 6</t>
  </si>
  <si>
    <t>إجمالي المصروفات النثرية</t>
  </si>
  <si>
    <t>المصروفات  النثرية</t>
  </si>
  <si>
    <t xml:space="preserve">ايجار </t>
  </si>
  <si>
    <t>محمد رشاد</t>
  </si>
  <si>
    <t>عبد الله محمد</t>
  </si>
  <si>
    <t>رياض حامد</t>
  </si>
  <si>
    <t xml:space="preserve">محمد رشاد </t>
  </si>
  <si>
    <t>اشتراك نت</t>
  </si>
  <si>
    <t>كهرباء و مياه</t>
  </si>
  <si>
    <t>باقي حساب فتحي 300</t>
  </si>
  <si>
    <t>ماتش مصر و بلجيكا</t>
  </si>
  <si>
    <t>ماتش مصر و بالجيكا</t>
  </si>
  <si>
    <t>ماتش مصر و نيوزلندا</t>
  </si>
  <si>
    <t>تلف المكينة</t>
  </si>
  <si>
    <t>ماتش مصر و ايران</t>
  </si>
  <si>
    <t xml:space="preserve">يوجد زيادة 68  جنية </t>
  </si>
  <si>
    <t>سوبر فايزر</t>
  </si>
  <si>
    <t>كابتن</t>
  </si>
  <si>
    <t>ويتر</t>
  </si>
  <si>
    <t>هاوس</t>
  </si>
  <si>
    <t>هيد بار</t>
  </si>
  <si>
    <t>استيور</t>
  </si>
  <si>
    <t>احمد هشهش</t>
  </si>
  <si>
    <t>اسلام رمضان</t>
  </si>
  <si>
    <t>فهمي جمال</t>
  </si>
  <si>
    <t>بيكب</t>
  </si>
  <si>
    <t>عبد الرحمن ايهاب</t>
  </si>
  <si>
    <t>احمد الجهري</t>
  </si>
  <si>
    <t>كراسي و تروسكل</t>
  </si>
  <si>
    <t xml:space="preserve">   ماتش مصر و ايران</t>
  </si>
  <si>
    <t>خامات</t>
  </si>
  <si>
    <t>مدام نهى</t>
  </si>
  <si>
    <t>اجمالي المشتريات</t>
  </si>
  <si>
    <t xml:space="preserve">الاجمالي </t>
  </si>
  <si>
    <t>سجل التقفيلات</t>
  </si>
  <si>
    <t>نصف يوم</t>
  </si>
  <si>
    <t xml:space="preserve">فارس احمد  </t>
  </si>
  <si>
    <t xml:space="preserve">فارس هاني  </t>
  </si>
  <si>
    <t>خالص</t>
  </si>
  <si>
    <t>كانت في المصاريف النثرية</t>
  </si>
  <si>
    <t>لحد 30/6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</si>
</sst>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8"/>
      <scheme val="minor"/>
    </font>
    <font>
      <b/>
      <sz val="11"/>
      <name val="Aptos Narrow"/>
      <family val="2"/>
    </font>
    <font>
      <b/>
      <sz val="14"/>
      <name val="Aptos Narrow"/>
      <family val="2"/>
    </font>
    <font>
      <b/>
      <sz val="11"/>
      <name val="Aptos Narrow"/>
      <family val="2"/>
    </font>
    <font>
      <b/>
      <sz val="18"/>
      <name val="Aptos Narrow"/>
      <family val="2"/>
    </font>
    <font>
      <b/>
      <sz val="11"/>
      <name val="Aptos Narrow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2"/>
      <name val="Aptos Narrow"/>
      <family val="2"/>
    </font>
    <font>
      <b/>
      <sz val="18"/>
      <name val="Aptos Narrow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5" fillId="5" borderId="0" applyNumberFormat="0" applyBorder="0" applyAlignment="0" applyProtection="0"/>
    <xf numFmtId="0" fontId="26" fillId="6" borderId="0" applyNumberFormat="0" applyBorder="0" applyAlignment="0" applyProtection="0"/>
  </cellStyleXfs>
  <cellXfs count="75">
    <xf numFmtId="0" fontId="0" fillId="0" borderId="0" xfId="0"/>
    <xf numFmtId="4" fontId="0" fillId="0" borderId="0" xfId="0" applyNumberFormat="1"/>
    <xf numFmtId="14" fontId="0" fillId="0" borderId="0" xfId="0" applyNumberFormat="1"/>
    <xf numFmtId="2" fontId="0" fillId="0" borderId="0" xfId="0" applyNumberForma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0" fillId="3" borderId="1" xfId="0" applyFill="1" applyBorder="1"/>
    <xf numFmtId="4" fontId="4" fillId="3" borderId="1" xfId="0" applyNumberFormat="1" applyFont="1" applyFill="1" applyBorder="1"/>
    <xf numFmtId="4" fontId="3" fillId="0" borderId="0" xfId="0" applyNumberFormat="1" applyFont="1"/>
    <xf numFmtId="0" fontId="4" fillId="3" borderId="0" xfId="0" applyFont="1" applyFill="1"/>
    <xf numFmtId="0" fontId="0" fillId="3" borderId="0" xfId="0" applyFill="1"/>
    <xf numFmtId="4" fontId="4" fillId="3" borderId="0" xfId="0" applyNumberFormat="1" applyFont="1" applyFill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4" fontId="0" fillId="0" borderId="1" xfId="0" applyNumberFormat="1" applyBorder="1"/>
    <xf numFmtId="4" fontId="0" fillId="0" borderId="1" xfId="0" applyNumberFormat="1" applyBorder="1"/>
    <xf numFmtId="0" fontId="9" fillId="2" borderId="1" xfId="0" applyFont="1" applyFill="1" applyBorder="1" applyAlignment="1">
      <alignment horizontal="center"/>
    </xf>
    <xf numFmtId="2" fontId="0" fillId="0" borderId="1" xfId="0" applyNumberFormat="1" applyBorder="1"/>
    <xf numFmtId="0" fontId="8" fillId="0" borderId="1" xfId="0" applyFont="1" applyBorder="1"/>
    <xf numFmtId="14" fontId="8" fillId="0" borderId="1" xfId="0" applyNumberFormat="1" applyFont="1" applyBorder="1"/>
    <xf numFmtId="0" fontId="0" fillId="0" borderId="0" xfId="0" applyAlignment="1">
      <alignment horizontal="center"/>
    </xf>
    <xf numFmtId="0" fontId="13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2" fillId="0" borderId="1" xfId="0" applyFont="1" applyBorder="1"/>
    <xf numFmtId="2" fontId="0" fillId="0" borderId="1" xfId="0" applyNumberFormat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4" fontId="10" fillId="3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/>
    </xf>
    <xf numFmtId="0" fontId="18" fillId="0" borderId="0" xfId="0" applyFont="1"/>
    <xf numFmtId="4" fontId="13" fillId="0" borderId="1" xfId="0" applyNumberFormat="1" applyFont="1" applyBorder="1" applyAlignment="1">
      <alignment horizontal="center" vertical="center"/>
    </xf>
    <xf numFmtId="0" fontId="19" fillId="0" borderId="1" xfId="0" applyFont="1" applyBorder="1"/>
    <xf numFmtId="0" fontId="20" fillId="0" borderId="1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/>
    <xf numFmtId="2" fontId="8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4" fontId="8" fillId="0" borderId="0" xfId="0" applyNumberFormat="1" applyFont="1"/>
    <xf numFmtId="2" fontId="13" fillId="0" borderId="1" xfId="0" applyNumberFormat="1" applyFont="1" applyBorder="1" applyAlignment="1">
      <alignment horizontal="center" vertical="center"/>
    </xf>
    <xf numFmtId="0" fontId="25" fillId="5" borderId="1" xfId="1" applyBorder="1"/>
    <xf numFmtId="0" fontId="25" fillId="5" borderId="1" xfId="1" applyBorder="1" applyAlignment="1">
      <alignment horizontal="center"/>
    </xf>
    <xf numFmtId="0" fontId="25" fillId="5" borderId="1" xfId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" fontId="17" fillId="0" borderId="1" xfId="0" applyNumberFormat="1" applyFont="1" applyBorder="1" applyAlignment="1">
      <alignment horizontal="center" vertical="center"/>
    </xf>
    <xf numFmtId="0" fontId="26" fillId="6" borderId="1" xfId="2" applyBorder="1" applyAlignment="1">
      <alignment horizontal="center" vertical="center"/>
    </xf>
    <xf numFmtId="0" fontId="1" fillId="7" borderId="1" xfId="2" applyFont="1" applyFill="1" applyBorder="1" applyAlignment="1">
      <alignment horizontal="center" vertical="center"/>
    </xf>
    <xf numFmtId="0" fontId="1" fillId="7" borderId="5" xfId="2" applyFont="1" applyFill="1" applyBorder="1" applyAlignment="1">
      <alignment horizontal="center" vertical="center"/>
    </xf>
  </cellXfs>
  <cellStyles count="3">
    <cellStyle name="Bad" xfId="1" builtinId="27"/>
    <cellStyle name="Neutral" xfId="2" builtinId="28"/>
    <cellStyle name="Normal" xfId="0" builtinId="0"/>
  </cellStyles>
  <dxfs count="11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03CE6A-6F5B-42CF-B835-8677243A5452}" name="Table1" displayName="Table1" ref="A3:H25" totalsRowShown="0" headerRowDxfId="10" headerRowBorderDxfId="9" tableBorderDxfId="8">
  <autoFilter ref="A3:H25" xr:uid="{1503CE6A-6F5B-42CF-B835-8677243A5452}"/>
  <sortState xmlns:xlrd2="http://schemas.microsoft.com/office/spreadsheetml/2017/richdata2" ref="A4:H25">
    <sortCondition ref="B3:B25"/>
  </sortState>
  <tableColumns count="8">
    <tableColumn id="1" xr3:uid="{89AB9DAE-742F-4961-A68F-353439630A7E}" name="م"/>
    <tableColumn id="2" xr3:uid="{07D5B188-FF22-4366-918F-2CD12A550C85}" name="اسم المورد"/>
    <tableColumn id="3" xr3:uid="{A8C7D243-B4CB-4FD8-8B0E-23E0C45FDB6F}" name="رقم الهاتف"/>
    <tableColumn id="4" xr3:uid="{D83752C7-6704-49DE-A0C2-0A59DB304D3A}" name="العنوان"/>
    <tableColumn id="5" xr3:uid="{80155DC8-CB0D-40DB-8372-ABC94F9FBD07}" name="المنتجات الموردة"/>
    <tableColumn id="6" xr3:uid="{7F2ED50B-B5A3-4952-8FC3-A298C8D000AA}" name="إجمالي المشتريات"/>
    <tableColumn id="7" xr3:uid="{F80FAA32-E52F-43D1-80C4-C893327833F6}" name="مدفوع"/>
    <tableColumn id="8" xr3:uid="{EF20BE48-0E95-4340-A877-1CC6DA1E89B4}" name="المتبقي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F27E3D-FBAF-4743-A0A3-D8E2D9B03B04}" name="Table2" displayName="Table2" ref="A3:G5" totalsRowShown="0" headerRowDxfId="7" headerRowBorderDxfId="6" tableBorderDxfId="5">
  <autoFilter ref="A3:G5" xr:uid="{A6F27E3D-FBAF-4743-A0A3-D8E2D9B03B04}"/>
  <tableColumns count="7">
    <tableColumn id="1" xr3:uid="{A998BA95-B09C-44A1-A227-B8F1FF4998BD}" name="Column1"/>
    <tableColumn id="2" xr3:uid="{7F618648-8E50-4DC0-B288-6CD993840FB4}" name="Column2" dataDxfId="4"/>
    <tableColumn id="3" xr3:uid="{EF3645F5-0BE4-48DB-B29E-C177BB47CC4C}" name="Column3" dataDxfId="3"/>
    <tableColumn id="4" xr3:uid="{EB69A2FB-DBB9-4FE5-BED5-8121EF9313B1}" name="Column4" dataDxfId="2"/>
    <tableColumn id="5" xr3:uid="{FD215D26-D2BF-41DB-B058-CF22763E6EE0}" name="Column5" dataDxfId="1"/>
    <tableColumn id="6" xr3:uid="{7245048F-85FE-4E7F-B3F5-156C2BE4C803}" name="Column6" dataDxfId="0"/>
    <tableColumn id="7" xr3:uid="{9565D7A7-9C50-40C6-ADD4-AC220B8E1416}" name="Column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0C4DE"/>
  </sheetPr>
  <dimension ref="A1:D33"/>
  <sheetViews>
    <sheetView workbookViewId="0">
      <selection activeCell="F11" sqref="F11"/>
    </sheetView>
  </sheetViews>
  <sheetFormatPr defaultRowHeight="15" x14ac:dyDescent="0.25"/>
  <cols>
    <col min="1" max="1" width="6" customWidth="1"/>
    <col min="2" max="2" width="22" customWidth="1"/>
    <col min="3" max="3" width="20" customWidth="1"/>
    <col min="4" max="4" width="18" customWidth="1"/>
  </cols>
  <sheetData>
    <row r="1" spans="1:4" ht="24" x14ac:dyDescent="0.25">
      <c r="A1" s="65" t="s">
        <v>11</v>
      </c>
      <c r="B1" s="64"/>
      <c r="C1" s="64"/>
      <c r="D1" s="64"/>
    </row>
    <row r="4" spans="1:4" x14ac:dyDescent="0.25">
      <c r="A4" s="50" t="s">
        <v>12</v>
      </c>
      <c r="B4" s="50" t="s">
        <v>13</v>
      </c>
      <c r="C4" s="50" t="s">
        <v>14</v>
      </c>
      <c r="D4" s="50" t="s">
        <v>15</v>
      </c>
    </row>
    <row r="5" spans="1:4" x14ac:dyDescent="0.25">
      <c r="A5" s="14">
        <v>1</v>
      </c>
      <c r="B5" s="51" t="s">
        <v>82</v>
      </c>
      <c r="C5" s="52" t="s">
        <v>173</v>
      </c>
      <c r="D5" s="53">
        <v>1099724995</v>
      </c>
    </row>
    <row r="6" spans="1:4" x14ac:dyDescent="0.25">
      <c r="A6" s="14">
        <v>2</v>
      </c>
      <c r="B6" s="51" t="s">
        <v>88</v>
      </c>
      <c r="C6" s="52" t="s">
        <v>99</v>
      </c>
      <c r="D6" s="54">
        <v>1098610851</v>
      </c>
    </row>
    <row r="7" spans="1:4" x14ac:dyDescent="0.25">
      <c r="A7" s="14">
        <v>3</v>
      </c>
      <c r="B7" s="51" t="s">
        <v>76</v>
      </c>
      <c r="C7" s="52" t="s">
        <v>174</v>
      </c>
      <c r="D7" s="54">
        <v>1022948840</v>
      </c>
    </row>
    <row r="8" spans="1:4" x14ac:dyDescent="0.25">
      <c r="A8" s="14">
        <v>4</v>
      </c>
      <c r="B8" s="51" t="s">
        <v>77</v>
      </c>
      <c r="C8" s="52" t="s">
        <v>174</v>
      </c>
      <c r="D8" s="54">
        <v>1094787318</v>
      </c>
    </row>
    <row r="9" spans="1:4" x14ac:dyDescent="0.25">
      <c r="A9" s="14">
        <v>5</v>
      </c>
      <c r="B9" s="51" t="s">
        <v>78</v>
      </c>
      <c r="C9" s="52" t="s">
        <v>175</v>
      </c>
      <c r="D9" s="54">
        <v>1141286890</v>
      </c>
    </row>
    <row r="10" spans="1:4" x14ac:dyDescent="0.25">
      <c r="A10" s="14">
        <v>6</v>
      </c>
      <c r="B10" s="51" t="s">
        <v>79</v>
      </c>
      <c r="C10" s="52" t="s">
        <v>176</v>
      </c>
      <c r="D10" s="54">
        <v>1203252448</v>
      </c>
    </row>
    <row r="11" spans="1:4" x14ac:dyDescent="0.25">
      <c r="A11" s="14">
        <v>7</v>
      </c>
      <c r="B11" s="51" t="s">
        <v>194</v>
      </c>
      <c r="C11" s="52" t="s">
        <v>175</v>
      </c>
      <c r="D11" s="54">
        <v>1273884672</v>
      </c>
    </row>
    <row r="12" spans="1:4" x14ac:dyDescent="0.25">
      <c r="A12" s="14">
        <v>8</v>
      </c>
      <c r="B12" s="51" t="s">
        <v>80</v>
      </c>
      <c r="C12" s="52" t="s">
        <v>175</v>
      </c>
      <c r="D12" s="54">
        <v>1556027058</v>
      </c>
    </row>
    <row r="13" spans="1:4" x14ac:dyDescent="0.25">
      <c r="A13" s="14">
        <v>9</v>
      </c>
      <c r="B13" s="51" t="s">
        <v>81</v>
      </c>
      <c r="C13" s="52" t="s">
        <v>97</v>
      </c>
      <c r="D13" s="54">
        <v>1148115761</v>
      </c>
    </row>
    <row r="14" spans="1:4" x14ac:dyDescent="0.25">
      <c r="A14" s="14">
        <v>10</v>
      </c>
      <c r="B14" s="51" t="s">
        <v>83</v>
      </c>
      <c r="C14" s="52" t="s">
        <v>175</v>
      </c>
      <c r="D14" s="54">
        <v>1228413897</v>
      </c>
    </row>
    <row r="15" spans="1:4" x14ac:dyDescent="0.25">
      <c r="A15" s="14">
        <v>11</v>
      </c>
      <c r="B15" s="51" t="s">
        <v>84</v>
      </c>
      <c r="C15" s="52" t="s">
        <v>175</v>
      </c>
      <c r="D15" s="54">
        <v>1288766508</v>
      </c>
    </row>
    <row r="16" spans="1:4" x14ac:dyDescent="0.25">
      <c r="A16" s="14">
        <v>12</v>
      </c>
      <c r="B16" s="51" t="s">
        <v>85</v>
      </c>
      <c r="C16" s="52" t="s">
        <v>174</v>
      </c>
      <c r="D16" s="54">
        <v>1206196377</v>
      </c>
    </row>
    <row r="17" spans="1:4" x14ac:dyDescent="0.25">
      <c r="A17" s="14">
        <v>13</v>
      </c>
      <c r="B17" s="51" t="s">
        <v>86</v>
      </c>
      <c r="C17" s="52" t="s">
        <v>97</v>
      </c>
      <c r="D17" s="54">
        <v>1033075725</v>
      </c>
    </row>
    <row r="18" spans="1:4" x14ac:dyDescent="0.25">
      <c r="A18" s="14">
        <v>14</v>
      </c>
      <c r="B18" s="51" t="s">
        <v>87</v>
      </c>
      <c r="C18" s="52" t="s">
        <v>98</v>
      </c>
      <c r="D18" s="54">
        <v>1097710346</v>
      </c>
    </row>
    <row r="19" spans="1:4" x14ac:dyDescent="0.25">
      <c r="A19" s="14">
        <v>15</v>
      </c>
      <c r="B19" s="51" t="s">
        <v>75</v>
      </c>
      <c r="C19" s="52" t="s">
        <v>177</v>
      </c>
      <c r="D19" s="54">
        <v>1221210579</v>
      </c>
    </row>
    <row r="20" spans="1:4" x14ac:dyDescent="0.25">
      <c r="A20" s="14">
        <v>16</v>
      </c>
      <c r="B20" s="51" t="s">
        <v>153</v>
      </c>
      <c r="C20" s="52" t="s">
        <v>176</v>
      </c>
      <c r="D20" s="55"/>
    </row>
    <row r="21" spans="1:4" x14ac:dyDescent="0.25">
      <c r="A21" s="14">
        <v>17</v>
      </c>
      <c r="B21" s="51" t="s">
        <v>105</v>
      </c>
      <c r="C21" s="52" t="s">
        <v>178</v>
      </c>
      <c r="D21" s="55"/>
    </row>
    <row r="22" spans="1:4" x14ac:dyDescent="0.25">
      <c r="A22" s="14">
        <v>18</v>
      </c>
      <c r="B22" s="51" t="s">
        <v>179</v>
      </c>
      <c r="C22" s="52" t="s">
        <v>174</v>
      </c>
      <c r="D22" s="53">
        <v>1028966193</v>
      </c>
    </row>
    <row r="23" spans="1:4" ht="15.75" x14ac:dyDescent="0.25">
      <c r="A23" s="14">
        <v>19</v>
      </c>
      <c r="B23" s="56" t="s">
        <v>129</v>
      </c>
      <c r="C23" s="52" t="s">
        <v>178</v>
      </c>
      <c r="D23" s="55"/>
    </row>
    <row r="24" spans="1:4" ht="15.75" x14ac:dyDescent="0.25">
      <c r="A24" s="14">
        <v>20</v>
      </c>
      <c r="B24" s="57" t="s">
        <v>180</v>
      </c>
      <c r="C24" s="52" t="s">
        <v>175</v>
      </c>
      <c r="D24" s="55"/>
    </row>
    <row r="25" spans="1:4" ht="15.75" x14ac:dyDescent="0.25">
      <c r="A25" s="14">
        <v>21</v>
      </c>
      <c r="B25" s="57" t="s">
        <v>181</v>
      </c>
      <c r="C25" s="52" t="s">
        <v>182</v>
      </c>
      <c r="D25" s="40">
        <v>1277585870</v>
      </c>
    </row>
    <row r="26" spans="1:4" x14ac:dyDescent="0.25">
      <c r="A26" s="14">
        <v>22</v>
      </c>
      <c r="B26" s="40" t="s">
        <v>140</v>
      </c>
      <c r="C26" s="52" t="s">
        <v>175</v>
      </c>
      <c r="D26" s="40">
        <v>1020633821</v>
      </c>
    </row>
    <row r="27" spans="1:4" x14ac:dyDescent="0.25">
      <c r="A27" s="14">
        <v>23</v>
      </c>
      <c r="B27" s="30" t="s">
        <v>183</v>
      </c>
      <c r="C27" s="14"/>
      <c r="D27" s="14"/>
    </row>
    <row r="28" spans="1:4" x14ac:dyDescent="0.25">
      <c r="A28" s="14">
        <v>24</v>
      </c>
      <c r="B28" s="30" t="s">
        <v>184</v>
      </c>
      <c r="C28" s="14"/>
      <c r="D28" s="14"/>
    </row>
    <row r="29" spans="1:4" x14ac:dyDescent="0.25">
      <c r="A29" s="14">
        <v>25</v>
      </c>
      <c r="B29" s="30" t="s">
        <v>150</v>
      </c>
      <c r="C29" s="14"/>
      <c r="D29" s="14"/>
    </row>
    <row r="30" spans="1:4" x14ac:dyDescent="0.25">
      <c r="A30" s="14"/>
      <c r="B30" s="14"/>
      <c r="C30" s="14"/>
      <c r="D30" s="14"/>
    </row>
    <row r="31" spans="1:4" x14ac:dyDescent="0.25">
      <c r="A31" s="14"/>
      <c r="B31" s="14"/>
      <c r="C31" s="14"/>
      <c r="D31" s="14"/>
    </row>
    <row r="32" spans="1:4" x14ac:dyDescent="0.25">
      <c r="A32" s="14"/>
      <c r="B32" s="14"/>
      <c r="C32" s="14"/>
      <c r="D32" s="14"/>
    </row>
    <row r="33" spans="1:4" x14ac:dyDescent="0.25">
      <c r="A33" s="14"/>
      <c r="B33" s="14"/>
      <c r="C33" s="14"/>
      <c r="D33" s="14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K35"/>
  <sheetViews>
    <sheetView workbookViewId="0">
      <selection activeCell="I31" sqref="I31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8" customWidth="1"/>
    <col min="5" max="6" width="14" customWidth="1"/>
    <col min="7" max="7" width="20.85546875" bestFit="1" customWidth="1"/>
  </cols>
  <sheetData>
    <row r="1" spans="1:7" ht="24" x14ac:dyDescent="0.25">
      <c r="A1" s="65" t="s">
        <v>16</v>
      </c>
      <c r="B1" s="64"/>
      <c r="C1" s="64"/>
      <c r="D1" s="64"/>
      <c r="E1" s="64"/>
      <c r="F1" s="64"/>
      <c r="G1" s="64"/>
    </row>
    <row r="3" spans="1:7" x14ac:dyDescent="0.25">
      <c r="A3" s="6" t="s">
        <v>1</v>
      </c>
      <c r="B3" s="6" t="s">
        <v>2</v>
      </c>
      <c r="C3" s="6" t="s">
        <v>17</v>
      </c>
      <c r="D3" s="15" t="s">
        <v>89</v>
      </c>
      <c r="E3" s="15" t="s">
        <v>90</v>
      </c>
      <c r="F3" s="18" t="s">
        <v>10</v>
      </c>
      <c r="G3" s="6" t="s">
        <v>9</v>
      </c>
    </row>
    <row r="4" spans="1:7" x14ac:dyDescent="0.25">
      <c r="A4" s="21">
        <v>46174</v>
      </c>
      <c r="B4" s="28" t="s">
        <v>18</v>
      </c>
      <c r="C4" s="24"/>
      <c r="D4" s="24"/>
      <c r="E4" s="24"/>
      <c r="F4" s="24"/>
      <c r="G4" s="14"/>
    </row>
    <row r="5" spans="1:7" x14ac:dyDescent="0.25">
      <c r="A5" s="21">
        <v>46175</v>
      </c>
      <c r="B5" s="28" t="s">
        <v>19</v>
      </c>
      <c r="C5" s="24"/>
      <c r="D5" s="24"/>
      <c r="E5" s="24"/>
      <c r="F5" s="24"/>
      <c r="G5" s="14"/>
    </row>
    <row r="6" spans="1:7" x14ac:dyDescent="0.25">
      <c r="A6" s="21">
        <v>46176</v>
      </c>
      <c r="B6" s="28" t="s">
        <v>20</v>
      </c>
      <c r="C6" s="24"/>
      <c r="D6" s="24"/>
      <c r="E6" s="24"/>
      <c r="F6" s="24"/>
      <c r="G6" s="14"/>
    </row>
    <row r="7" spans="1:7" x14ac:dyDescent="0.25">
      <c r="A7" s="21">
        <v>46177</v>
      </c>
      <c r="B7" s="28" t="s">
        <v>21</v>
      </c>
      <c r="C7" s="24"/>
      <c r="D7" s="24"/>
      <c r="E7" s="24"/>
      <c r="F7" s="24"/>
      <c r="G7" s="14"/>
    </row>
    <row r="8" spans="1:7" x14ac:dyDescent="0.25">
      <c r="A8" s="21">
        <v>46178</v>
      </c>
      <c r="B8" s="28" t="s">
        <v>22</v>
      </c>
      <c r="C8" s="24"/>
      <c r="D8" s="24"/>
      <c r="E8" s="24"/>
      <c r="F8" s="24"/>
      <c r="G8" s="14"/>
    </row>
    <row r="9" spans="1:7" x14ac:dyDescent="0.25">
      <c r="A9" s="21">
        <v>46179</v>
      </c>
      <c r="B9" s="28" t="s">
        <v>23</v>
      </c>
      <c r="C9" s="24"/>
      <c r="D9" s="24"/>
      <c r="E9" s="24"/>
      <c r="F9" s="24"/>
      <c r="G9" s="14"/>
    </row>
    <row r="10" spans="1:7" x14ac:dyDescent="0.25">
      <c r="A10" s="21">
        <v>46180</v>
      </c>
      <c r="B10" s="28" t="s">
        <v>24</v>
      </c>
      <c r="C10" s="24"/>
      <c r="D10" s="24"/>
      <c r="E10" s="24"/>
      <c r="F10" s="24"/>
      <c r="G10" s="14"/>
    </row>
    <row r="11" spans="1:7" x14ac:dyDescent="0.25">
      <c r="A11" s="21">
        <v>46181</v>
      </c>
      <c r="B11" s="28" t="s">
        <v>18</v>
      </c>
      <c r="C11" s="24"/>
      <c r="D11" s="24"/>
      <c r="E11" s="24"/>
      <c r="F11" s="24"/>
      <c r="G11" s="14"/>
    </row>
    <row r="12" spans="1:7" x14ac:dyDescent="0.25">
      <c r="A12" s="21">
        <v>46182</v>
      </c>
      <c r="B12" s="28" t="s">
        <v>19</v>
      </c>
      <c r="C12" s="24"/>
      <c r="D12" s="24"/>
      <c r="E12" s="24"/>
      <c r="F12" s="24"/>
      <c r="G12" s="14"/>
    </row>
    <row r="13" spans="1:7" x14ac:dyDescent="0.25">
      <c r="A13" s="21">
        <v>46183</v>
      </c>
      <c r="B13" s="28" t="s">
        <v>20</v>
      </c>
      <c r="C13" s="24"/>
      <c r="D13" s="24"/>
      <c r="E13" s="24"/>
      <c r="F13" s="24"/>
      <c r="G13" s="14"/>
    </row>
    <row r="14" spans="1:7" x14ac:dyDescent="0.25">
      <c r="A14" s="21">
        <v>46184</v>
      </c>
      <c r="B14" s="28" t="s">
        <v>21</v>
      </c>
      <c r="C14" s="24"/>
      <c r="D14" s="24"/>
      <c r="E14" s="24"/>
      <c r="F14" s="24"/>
      <c r="G14" s="14"/>
    </row>
    <row r="15" spans="1:7" x14ac:dyDescent="0.25">
      <c r="A15" s="21">
        <v>46185</v>
      </c>
      <c r="B15" s="28" t="s">
        <v>22</v>
      </c>
      <c r="C15" s="24"/>
      <c r="D15" s="24"/>
      <c r="E15" s="24"/>
      <c r="F15" s="24"/>
      <c r="G15" s="14"/>
    </row>
    <row r="16" spans="1:7" x14ac:dyDescent="0.25">
      <c r="A16" s="21">
        <v>46186</v>
      </c>
      <c r="B16" s="28" t="s">
        <v>23</v>
      </c>
      <c r="C16" s="24"/>
      <c r="D16" s="24"/>
      <c r="E16" s="24"/>
      <c r="F16" s="24"/>
      <c r="G16" s="14"/>
    </row>
    <row r="17" spans="1:11" x14ac:dyDescent="0.25">
      <c r="A17" s="21">
        <v>46187</v>
      </c>
      <c r="B17" s="28" t="s">
        <v>24</v>
      </c>
      <c r="C17" s="24"/>
      <c r="D17" s="24"/>
      <c r="E17" s="24"/>
      <c r="F17" s="24"/>
      <c r="G17" s="14"/>
    </row>
    <row r="18" spans="1:11" x14ac:dyDescent="0.25">
      <c r="A18" s="21">
        <v>46188</v>
      </c>
      <c r="B18" s="28" t="s">
        <v>18</v>
      </c>
      <c r="C18" s="24"/>
      <c r="D18" s="24"/>
      <c r="E18" s="24"/>
      <c r="F18" s="24"/>
      <c r="G18" s="14"/>
    </row>
    <row r="19" spans="1:11" x14ac:dyDescent="0.25">
      <c r="A19" s="21">
        <v>46189</v>
      </c>
      <c r="B19" s="28" t="s">
        <v>19</v>
      </c>
      <c r="C19" s="24"/>
      <c r="D19" s="24"/>
      <c r="E19" s="24"/>
      <c r="F19" s="24"/>
      <c r="G19" s="14"/>
    </row>
    <row r="20" spans="1:11" x14ac:dyDescent="0.25">
      <c r="A20" s="21">
        <v>46190</v>
      </c>
      <c r="B20" s="28" t="s">
        <v>20</v>
      </c>
      <c r="C20" s="24"/>
      <c r="D20" s="24"/>
      <c r="E20" s="24"/>
      <c r="F20" s="24"/>
      <c r="G20" s="14"/>
    </row>
    <row r="21" spans="1:11" x14ac:dyDescent="0.25">
      <c r="A21" s="21">
        <v>46191</v>
      </c>
      <c r="B21" s="28" t="s">
        <v>21</v>
      </c>
      <c r="C21" s="24"/>
      <c r="D21" s="24"/>
      <c r="E21" s="24"/>
      <c r="F21" s="24"/>
      <c r="G21" s="14"/>
    </row>
    <row r="22" spans="1:11" x14ac:dyDescent="0.25">
      <c r="A22" s="21">
        <v>46192</v>
      </c>
      <c r="B22" s="28" t="s">
        <v>22</v>
      </c>
      <c r="C22" s="24"/>
      <c r="D22" s="24"/>
      <c r="E22" s="24"/>
      <c r="F22" s="24"/>
      <c r="G22" s="14"/>
    </row>
    <row r="23" spans="1:11" x14ac:dyDescent="0.25">
      <c r="A23" s="21">
        <v>46193</v>
      </c>
      <c r="B23" s="28" t="s">
        <v>23</v>
      </c>
      <c r="C23" s="24"/>
      <c r="D23" s="24"/>
      <c r="E23" s="24"/>
      <c r="F23" s="24"/>
      <c r="G23" s="14"/>
    </row>
    <row r="24" spans="1:11" x14ac:dyDescent="0.25">
      <c r="A24" s="21">
        <v>46194</v>
      </c>
      <c r="B24" s="28" t="s">
        <v>24</v>
      </c>
      <c r="C24" s="24"/>
      <c r="D24" s="24"/>
      <c r="E24" s="24"/>
      <c r="F24" s="24"/>
      <c r="G24" s="14"/>
      <c r="K24" s="1"/>
    </row>
    <row r="25" spans="1:11" x14ac:dyDescent="0.25">
      <c r="A25" s="21">
        <v>46195</v>
      </c>
      <c r="B25" s="28" t="s">
        <v>18</v>
      </c>
      <c r="C25" s="24"/>
      <c r="D25" s="24"/>
      <c r="E25" s="24"/>
      <c r="F25" s="24"/>
      <c r="G25" s="14"/>
    </row>
    <row r="26" spans="1:11" x14ac:dyDescent="0.25">
      <c r="A26" s="21">
        <v>46196</v>
      </c>
      <c r="B26" s="28" t="s">
        <v>19</v>
      </c>
      <c r="C26" s="24"/>
      <c r="D26" s="24"/>
      <c r="E26" s="24"/>
      <c r="F26" s="24"/>
      <c r="G26" s="14"/>
    </row>
    <row r="27" spans="1:11" x14ac:dyDescent="0.25">
      <c r="A27" s="21">
        <v>46197</v>
      </c>
      <c r="B27" s="28" t="s">
        <v>20</v>
      </c>
      <c r="C27" s="24"/>
      <c r="D27" s="24"/>
      <c r="E27" s="24"/>
      <c r="F27" s="24"/>
      <c r="G27" s="14"/>
    </row>
    <row r="28" spans="1:11" x14ac:dyDescent="0.25">
      <c r="A28" s="21">
        <v>46198</v>
      </c>
      <c r="B28" s="28" t="s">
        <v>21</v>
      </c>
      <c r="C28" s="24"/>
      <c r="D28" s="24"/>
      <c r="E28" s="24"/>
      <c r="F28" s="24"/>
      <c r="G28" s="14"/>
    </row>
    <row r="29" spans="1:11" x14ac:dyDescent="0.25">
      <c r="A29" s="21">
        <v>46199</v>
      </c>
      <c r="B29" s="28" t="s">
        <v>22</v>
      </c>
      <c r="C29" s="24"/>
      <c r="D29" s="24"/>
      <c r="E29" s="24"/>
      <c r="F29" s="24"/>
      <c r="G29" s="14"/>
    </row>
    <row r="30" spans="1:11" x14ac:dyDescent="0.25">
      <c r="A30" s="21">
        <v>46200</v>
      </c>
      <c r="B30" s="28" t="s">
        <v>23</v>
      </c>
      <c r="C30" s="24">
        <v>9665</v>
      </c>
      <c r="D30" s="24">
        <v>325</v>
      </c>
      <c r="E30" s="24">
        <v>600</v>
      </c>
      <c r="F30" s="24">
        <f>9665+325+600</f>
        <v>10590</v>
      </c>
      <c r="G30" s="14"/>
    </row>
    <row r="31" spans="1:11" x14ac:dyDescent="0.25">
      <c r="A31" s="21">
        <v>46201</v>
      </c>
      <c r="B31" s="28" t="s">
        <v>24</v>
      </c>
      <c r="C31" s="24">
        <f>4640+8560</f>
        <v>13200</v>
      </c>
      <c r="D31" s="24"/>
      <c r="E31" s="24">
        <f>170+40+30+200+350+200+180+345+90+45+390+120</f>
        <v>2160</v>
      </c>
      <c r="F31" s="24">
        <f>IF(SUM(C31:E31)=0,0,SUM(C31:E31))</f>
        <v>15360</v>
      </c>
      <c r="G31" s="14"/>
    </row>
    <row r="32" spans="1:11" x14ac:dyDescent="0.25">
      <c r="A32" s="21">
        <v>46202</v>
      </c>
      <c r="B32" s="28" t="s">
        <v>18</v>
      </c>
      <c r="C32" s="24">
        <v>3515</v>
      </c>
      <c r="D32" s="24">
        <v>105</v>
      </c>
      <c r="E32" s="24">
        <v>695</v>
      </c>
      <c r="F32" s="24">
        <f>IF(SUM(C32:E32)=0,0,SUM(C32:E32))</f>
        <v>4315</v>
      </c>
      <c r="G32" s="14"/>
    </row>
    <row r="33" spans="1:7" x14ac:dyDescent="0.25">
      <c r="A33" s="21">
        <v>46203</v>
      </c>
      <c r="B33" s="28" t="s">
        <v>19</v>
      </c>
      <c r="C33" s="24">
        <v>3900</v>
      </c>
      <c r="D33" s="24"/>
      <c r="E33" s="24">
        <v>1355</v>
      </c>
      <c r="F33" s="24">
        <f>IF(SUM(C33:E33)=0,0,SUM(C33:E33))</f>
        <v>5255</v>
      </c>
      <c r="G33" s="14"/>
    </row>
    <row r="34" spans="1:7" ht="37.5" customHeight="1" x14ac:dyDescent="0.25">
      <c r="A34" s="34" t="s">
        <v>7</v>
      </c>
      <c r="B34" s="35"/>
      <c r="C34" s="36">
        <f>SUM(C4:C33)</f>
        <v>30280</v>
      </c>
      <c r="D34" s="36">
        <f>SUM(D4:D33)</f>
        <v>430</v>
      </c>
      <c r="E34" s="36">
        <f>SUM(E4:E33)</f>
        <v>4810</v>
      </c>
      <c r="F34" s="36">
        <f>SUM(F4:F33)</f>
        <v>35520</v>
      </c>
      <c r="G34" s="8"/>
    </row>
    <row r="35" spans="1:7" x14ac:dyDescent="0.25">
      <c r="C35" s="22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L39"/>
  <sheetViews>
    <sheetView workbookViewId="0">
      <selection activeCell="J19" sqref="J19"/>
    </sheetView>
  </sheetViews>
  <sheetFormatPr defaultRowHeight="15" x14ac:dyDescent="0.25"/>
  <cols>
    <col min="1" max="1" width="14" customWidth="1"/>
    <col min="2" max="2" width="12" customWidth="1"/>
    <col min="3" max="4" width="18" customWidth="1"/>
    <col min="5" max="6" width="12" customWidth="1"/>
    <col min="7" max="7" width="14" customWidth="1"/>
    <col min="8" max="8" width="20" customWidth="1"/>
    <col min="10" max="10" width="18" bestFit="1" customWidth="1"/>
    <col min="11" max="11" width="19.85546875" bestFit="1" customWidth="1"/>
  </cols>
  <sheetData>
    <row r="1" spans="1:12" ht="24" x14ac:dyDescent="0.25">
      <c r="A1" s="65" t="s">
        <v>0</v>
      </c>
      <c r="B1" s="64"/>
      <c r="C1" s="64"/>
      <c r="D1" s="64"/>
      <c r="E1" s="64"/>
      <c r="F1" s="64"/>
      <c r="G1" s="64"/>
      <c r="H1" s="64"/>
    </row>
    <row r="3" spans="1:12" x14ac:dyDescent="0.25">
      <c r="A3" s="6" t="s">
        <v>1</v>
      </c>
      <c r="B3" s="6" t="s">
        <v>2</v>
      </c>
      <c r="C3" s="15" t="s">
        <v>25</v>
      </c>
      <c r="D3" s="6" t="s">
        <v>4</v>
      </c>
      <c r="E3" s="6" t="s">
        <v>5</v>
      </c>
      <c r="F3" s="15" t="s">
        <v>96</v>
      </c>
      <c r="G3" s="6" t="s">
        <v>7</v>
      </c>
      <c r="H3" s="6" t="s">
        <v>9</v>
      </c>
      <c r="J3" s="29"/>
      <c r="K3" s="29"/>
      <c r="L3" s="29"/>
    </row>
    <row r="4" spans="1:12" x14ac:dyDescent="0.25">
      <c r="A4" s="47">
        <v>46180</v>
      </c>
      <c r="B4" s="39" t="s">
        <v>110</v>
      </c>
      <c r="C4" s="14"/>
      <c r="D4" s="14"/>
      <c r="E4" s="14"/>
      <c r="F4" s="14"/>
      <c r="G4" s="33">
        <v>10100</v>
      </c>
      <c r="H4" s="14"/>
      <c r="J4" s="29"/>
      <c r="K4" s="29"/>
      <c r="L4" s="29"/>
    </row>
    <row r="5" spans="1:12" x14ac:dyDescent="0.25">
      <c r="A5" s="47">
        <v>46181</v>
      </c>
      <c r="B5" s="39" t="s">
        <v>18</v>
      </c>
      <c r="C5" s="14"/>
      <c r="D5" s="14"/>
      <c r="E5" s="14"/>
      <c r="F5" s="14"/>
      <c r="G5" s="33">
        <v>3200</v>
      </c>
      <c r="H5" s="14"/>
      <c r="J5" s="29"/>
      <c r="K5" s="29"/>
      <c r="L5" s="29"/>
    </row>
    <row r="6" spans="1:12" x14ac:dyDescent="0.25">
      <c r="A6" s="47">
        <v>46182</v>
      </c>
      <c r="B6" s="39" t="s">
        <v>19</v>
      </c>
      <c r="C6" s="14"/>
      <c r="D6" s="14"/>
      <c r="E6" s="14"/>
      <c r="F6" s="14"/>
      <c r="G6" s="33">
        <v>8576</v>
      </c>
      <c r="H6" s="14"/>
      <c r="J6" s="3"/>
      <c r="K6" s="3"/>
      <c r="L6" s="3"/>
    </row>
    <row r="7" spans="1:12" x14ac:dyDescent="0.25">
      <c r="A7" s="47">
        <v>46183</v>
      </c>
      <c r="B7" s="39" t="s">
        <v>130</v>
      </c>
      <c r="C7" s="14"/>
      <c r="D7" s="14"/>
      <c r="E7" s="14"/>
      <c r="F7" s="14"/>
      <c r="G7" s="33">
        <v>3000</v>
      </c>
      <c r="H7" s="14"/>
      <c r="J7" s="3"/>
      <c r="K7" s="3"/>
      <c r="L7" s="3"/>
    </row>
    <row r="8" spans="1:12" x14ac:dyDescent="0.25">
      <c r="A8" s="47">
        <v>46184</v>
      </c>
      <c r="B8" s="39" t="s">
        <v>133</v>
      </c>
      <c r="C8" s="14"/>
      <c r="D8" s="14"/>
      <c r="E8" s="14"/>
      <c r="F8" s="14"/>
      <c r="G8" s="33">
        <v>1675</v>
      </c>
      <c r="H8" s="14"/>
      <c r="J8" s="3"/>
      <c r="K8" s="3"/>
      <c r="L8" s="3"/>
    </row>
    <row r="9" spans="1:12" x14ac:dyDescent="0.25">
      <c r="A9" s="47">
        <v>46185</v>
      </c>
      <c r="B9" s="39" t="s">
        <v>22</v>
      </c>
      <c r="C9" s="14"/>
      <c r="D9" s="14"/>
      <c r="E9" s="14"/>
      <c r="F9" s="14"/>
      <c r="G9" s="33">
        <v>14400</v>
      </c>
      <c r="H9" s="14"/>
      <c r="J9" s="3"/>
      <c r="K9" s="3"/>
      <c r="L9" s="3"/>
    </row>
    <row r="10" spans="1:12" x14ac:dyDescent="0.25">
      <c r="A10" s="47">
        <v>46186</v>
      </c>
      <c r="B10" s="39" t="s">
        <v>23</v>
      </c>
      <c r="C10" s="14"/>
      <c r="D10" s="14"/>
      <c r="E10" s="14"/>
      <c r="F10" s="14"/>
      <c r="G10" s="33">
        <v>250</v>
      </c>
      <c r="H10" s="14"/>
      <c r="J10" s="3"/>
      <c r="K10" s="3"/>
      <c r="L10" s="3"/>
    </row>
    <row r="11" spans="1:12" x14ac:dyDescent="0.25">
      <c r="A11" s="47">
        <v>46187</v>
      </c>
      <c r="B11" s="39" t="s">
        <v>110</v>
      </c>
      <c r="C11" s="14"/>
      <c r="D11" s="14"/>
      <c r="E11" s="14"/>
      <c r="F11" s="14"/>
      <c r="G11" s="33">
        <v>100</v>
      </c>
      <c r="H11" s="14"/>
      <c r="J11" s="3"/>
      <c r="K11" s="3"/>
      <c r="L11" s="3"/>
    </row>
    <row r="12" spans="1:12" x14ac:dyDescent="0.25">
      <c r="A12" s="47">
        <v>46188</v>
      </c>
      <c r="B12" s="39" t="s">
        <v>131</v>
      </c>
      <c r="C12" s="14"/>
      <c r="D12" s="14"/>
      <c r="E12" s="14"/>
      <c r="F12" s="14"/>
      <c r="G12" s="33">
        <v>5995</v>
      </c>
      <c r="H12" s="14"/>
    </row>
    <row r="13" spans="1:12" x14ac:dyDescent="0.25">
      <c r="A13" s="47">
        <v>46189</v>
      </c>
      <c r="B13" s="39" t="s">
        <v>19</v>
      </c>
      <c r="C13" s="14"/>
      <c r="D13" s="14"/>
      <c r="E13" s="14"/>
      <c r="F13" s="14"/>
      <c r="G13" s="33">
        <f>630+310+8406+660</f>
        <v>10006</v>
      </c>
      <c r="H13" s="14"/>
      <c r="J13" s="3"/>
    </row>
    <row r="14" spans="1:12" x14ac:dyDescent="0.25">
      <c r="A14" s="47">
        <v>46190</v>
      </c>
      <c r="B14" s="39" t="s">
        <v>132</v>
      </c>
      <c r="C14" s="14"/>
      <c r="D14" s="14"/>
      <c r="E14" s="14"/>
      <c r="F14" s="14"/>
      <c r="G14" s="33">
        <f>230+4850+1670+3900+565</f>
        <v>11215</v>
      </c>
      <c r="H14" s="14"/>
    </row>
    <row r="15" spans="1:12" x14ac:dyDescent="0.25">
      <c r="A15" s="47">
        <v>46191</v>
      </c>
      <c r="B15" s="39" t="s">
        <v>133</v>
      </c>
      <c r="C15" s="14"/>
      <c r="D15" s="14"/>
      <c r="E15" s="14"/>
      <c r="F15" s="14"/>
      <c r="G15" s="33">
        <f>600+1260</f>
        <v>1860</v>
      </c>
      <c r="H15" s="14"/>
    </row>
    <row r="16" spans="1:12" x14ac:dyDescent="0.25">
      <c r="A16" s="47">
        <v>46190</v>
      </c>
      <c r="B16" s="39" t="s">
        <v>22</v>
      </c>
      <c r="C16" s="14"/>
      <c r="D16" s="14"/>
      <c r="E16" s="14"/>
      <c r="F16" s="14"/>
      <c r="G16" s="33">
        <v>7806</v>
      </c>
      <c r="H16" s="14"/>
    </row>
    <row r="17" spans="1:12" x14ac:dyDescent="0.25">
      <c r="A17" s="47">
        <v>46193</v>
      </c>
      <c r="B17" s="39" t="s">
        <v>23</v>
      </c>
      <c r="C17" s="14"/>
      <c r="D17" s="14"/>
      <c r="E17" s="14"/>
      <c r="F17" s="14"/>
      <c r="G17" s="33">
        <f>260+1375+6431</f>
        <v>8066</v>
      </c>
      <c r="H17" s="14"/>
    </row>
    <row r="18" spans="1:12" x14ac:dyDescent="0.25">
      <c r="A18" s="47">
        <v>46194</v>
      </c>
      <c r="B18" s="39" t="s">
        <v>110</v>
      </c>
      <c r="C18" s="14"/>
      <c r="D18" s="14"/>
      <c r="E18" s="14"/>
      <c r="F18" s="14"/>
      <c r="G18" s="33">
        <f>4085+260</f>
        <v>4345</v>
      </c>
      <c r="H18" s="14"/>
    </row>
    <row r="19" spans="1:12" x14ac:dyDescent="0.25">
      <c r="A19" s="47">
        <v>46195</v>
      </c>
      <c r="B19" s="39" t="s">
        <v>18</v>
      </c>
      <c r="C19" s="14"/>
      <c r="D19" s="14"/>
      <c r="E19" s="14"/>
      <c r="F19" s="14"/>
      <c r="G19" s="33">
        <f>450+5485</f>
        <v>5935</v>
      </c>
      <c r="H19" s="14"/>
    </row>
    <row r="20" spans="1:12" x14ac:dyDescent="0.25">
      <c r="A20" s="47">
        <v>46196</v>
      </c>
      <c r="B20" s="39" t="s">
        <v>19</v>
      </c>
      <c r="C20" s="14"/>
      <c r="D20" s="14"/>
      <c r="E20" s="14"/>
      <c r="F20" s="14"/>
      <c r="G20" s="33">
        <f>500+400+2250</f>
        <v>3150</v>
      </c>
      <c r="H20" s="14"/>
    </row>
    <row r="21" spans="1:12" x14ac:dyDescent="0.25">
      <c r="A21" s="47">
        <v>46197</v>
      </c>
      <c r="B21" s="39" t="s">
        <v>130</v>
      </c>
      <c r="C21" s="14"/>
      <c r="D21" s="14"/>
      <c r="E21" s="14"/>
      <c r="F21" s="14"/>
      <c r="G21" s="33">
        <f>2060+910+5250</f>
        <v>8220</v>
      </c>
      <c r="H21" s="14"/>
    </row>
    <row r="22" spans="1:12" x14ac:dyDescent="0.25">
      <c r="A22" s="47">
        <v>46198</v>
      </c>
      <c r="B22" s="39" t="s">
        <v>133</v>
      </c>
      <c r="C22" s="14"/>
      <c r="D22" s="14"/>
      <c r="E22" s="14"/>
      <c r="F22" s="14"/>
      <c r="G22" s="33">
        <v>6500</v>
      </c>
      <c r="H22" s="14"/>
    </row>
    <row r="23" spans="1:12" x14ac:dyDescent="0.25">
      <c r="A23" s="47">
        <v>46199</v>
      </c>
      <c r="B23" s="39" t="s">
        <v>22</v>
      </c>
      <c r="C23" s="14"/>
      <c r="D23" s="14"/>
      <c r="E23" s="14"/>
      <c r="F23" s="14"/>
      <c r="G23" s="33">
        <f>3920+3150</f>
        <v>7070</v>
      </c>
      <c r="H23" s="14"/>
    </row>
    <row r="24" spans="1:12" x14ac:dyDescent="0.25">
      <c r="A24" s="47">
        <v>46200</v>
      </c>
      <c r="B24" s="30" t="s">
        <v>23</v>
      </c>
      <c r="C24" s="30" t="s">
        <v>138</v>
      </c>
      <c r="D24" s="30" t="s">
        <v>137</v>
      </c>
      <c r="E24" s="17"/>
      <c r="F24" s="17"/>
      <c r="G24" s="25">
        <v>1635</v>
      </c>
      <c r="H24" s="14"/>
    </row>
    <row r="25" spans="1:12" x14ac:dyDescent="0.25">
      <c r="A25" s="47">
        <v>46201</v>
      </c>
      <c r="B25" s="30" t="s">
        <v>23</v>
      </c>
      <c r="C25" s="30" t="s">
        <v>187</v>
      </c>
      <c r="D25" s="30" t="s">
        <v>102</v>
      </c>
      <c r="E25" s="17"/>
      <c r="F25" s="17"/>
      <c r="G25" s="25">
        <v>13425</v>
      </c>
      <c r="H25" s="14"/>
    </row>
    <row r="26" spans="1:12" x14ac:dyDescent="0.25">
      <c r="A26" s="47">
        <v>46201</v>
      </c>
      <c r="B26" s="30" t="s">
        <v>110</v>
      </c>
      <c r="C26" s="30" t="s">
        <v>187</v>
      </c>
      <c r="D26" s="30" t="s">
        <v>102</v>
      </c>
      <c r="E26" s="17"/>
      <c r="F26" s="17"/>
      <c r="G26" s="25">
        <v>5895</v>
      </c>
      <c r="H26" s="14"/>
      <c r="L26" s="3"/>
    </row>
    <row r="27" spans="1:12" x14ac:dyDescent="0.25">
      <c r="A27" s="47">
        <v>46201</v>
      </c>
      <c r="B27" s="30" t="s">
        <v>111</v>
      </c>
      <c r="C27" s="30" t="s">
        <v>187</v>
      </c>
      <c r="D27" s="30" t="s">
        <v>102</v>
      </c>
      <c r="E27" s="17"/>
      <c r="F27" s="17"/>
      <c r="G27" s="25">
        <v>225</v>
      </c>
      <c r="H27" s="14"/>
    </row>
    <row r="28" spans="1:12" x14ac:dyDescent="0.25">
      <c r="A28" s="47">
        <v>46201</v>
      </c>
      <c r="B28" s="30" t="s">
        <v>111</v>
      </c>
      <c r="C28" s="30" t="s">
        <v>187</v>
      </c>
      <c r="D28" s="30" t="s">
        <v>102</v>
      </c>
      <c r="E28" s="17"/>
      <c r="F28" s="17"/>
      <c r="G28" s="25">
        <v>50</v>
      </c>
      <c r="H28" s="14"/>
    </row>
    <row r="29" spans="1:12" x14ac:dyDescent="0.25">
      <c r="A29" s="47">
        <v>46201</v>
      </c>
      <c r="B29" s="30" t="s">
        <v>111</v>
      </c>
      <c r="C29" s="30" t="s">
        <v>138</v>
      </c>
      <c r="D29" s="30" t="s">
        <v>137</v>
      </c>
      <c r="E29" s="17"/>
      <c r="F29" s="17"/>
      <c r="G29" s="25">
        <v>925</v>
      </c>
      <c r="H29" s="14"/>
    </row>
    <row r="30" spans="1:12" x14ac:dyDescent="0.25">
      <c r="A30" s="47">
        <v>46202</v>
      </c>
      <c r="B30" s="30" t="s">
        <v>18</v>
      </c>
      <c r="C30" s="30" t="s">
        <v>118</v>
      </c>
      <c r="D30" s="30" t="s">
        <v>188</v>
      </c>
      <c r="E30" s="17"/>
      <c r="F30" s="17"/>
      <c r="G30" s="25">
        <v>450</v>
      </c>
      <c r="H30" s="14"/>
    </row>
    <row r="31" spans="1:12" x14ac:dyDescent="0.25">
      <c r="A31" s="47">
        <v>46202</v>
      </c>
      <c r="B31" s="30" t="s">
        <v>18</v>
      </c>
      <c r="C31" s="30" t="s">
        <v>187</v>
      </c>
      <c r="D31" s="30" t="s">
        <v>102</v>
      </c>
      <c r="E31" s="17"/>
      <c r="F31" s="17"/>
      <c r="G31" s="25">
        <v>8440</v>
      </c>
      <c r="H31" s="14"/>
    </row>
    <row r="32" spans="1:12" x14ac:dyDescent="0.25">
      <c r="A32" s="47">
        <v>46202</v>
      </c>
      <c r="B32" s="30" t="s">
        <v>18</v>
      </c>
      <c r="C32" s="30" t="s">
        <v>139</v>
      </c>
      <c r="D32" s="30" t="s">
        <v>137</v>
      </c>
      <c r="E32" s="17"/>
      <c r="F32" s="17"/>
      <c r="G32" s="25">
        <v>1046</v>
      </c>
      <c r="H32" s="14"/>
    </row>
    <row r="33" spans="1:8" x14ac:dyDescent="0.25">
      <c r="A33" s="47">
        <v>46202</v>
      </c>
      <c r="B33" s="30" t="s">
        <v>18</v>
      </c>
      <c r="C33" s="30" t="s">
        <v>187</v>
      </c>
      <c r="D33" s="30" t="s">
        <v>102</v>
      </c>
      <c r="E33" s="17"/>
      <c r="F33" s="17"/>
      <c r="G33" s="25">
        <v>8000</v>
      </c>
      <c r="H33" s="28"/>
    </row>
    <row r="34" spans="1:8" x14ac:dyDescent="0.25">
      <c r="A34" s="47">
        <v>46203</v>
      </c>
      <c r="B34" s="30" t="s">
        <v>19</v>
      </c>
      <c r="C34" s="30" t="s">
        <v>139</v>
      </c>
      <c r="D34" s="30" t="s">
        <v>137</v>
      </c>
      <c r="E34" s="17"/>
      <c r="F34" s="17"/>
      <c r="G34" s="25">
        <v>1700</v>
      </c>
      <c r="H34" s="14"/>
    </row>
    <row r="35" spans="1:8" x14ac:dyDescent="0.25">
      <c r="A35" s="47">
        <v>46203</v>
      </c>
      <c r="B35" s="30" t="s">
        <v>19</v>
      </c>
      <c r="C35" s="30" t="s">
        <v>136</v>
      </c>
      <c r="D35" s="30" t="s">
        <v>188</v>
      </c>
      <c r="E35" s="17"/>
      <c r="F35" s="17"/>
      <c r="G35" s="25">
        <v>350</v>
      </c>
      <c r="H35" s="14"/>
    </row>
    <row r="36" spans="1:8" ht="21" x14ac:dyDescent="0.25">
      <c r="A36" s="58"/>
      <c r="B36" s="29"/>
      <c r="E36" s="1"/>
      <c r="F36" s="1"/>
      <c r="G36" s="59">
        <f>SUM(G4:G35)</f>
        <v>163610</v>
      </c>
      <c r="H36" s="38" t="s">
        <v>189</v>
      </c>
    </row>
    <row r="37" spans="1:8" ht="25.5" customHeight="1" x14ac:dyDescent="0.25">
      <c r="A37" s="58"/>
      <c r="B37" s="29" t="str">
        <f t="shared" ref="B37:B39" si="0">IF(A37="","",TEXT(A37,"dddd"))</f>
        <v/>
      </c>
      <c r="E37" s="1"/>
      <c r="F37" s="1"/>
      <c r="G37" s="1"/>
    </row>
    <row r="38" spans="1:8" x14ac:dyDescent="0.25">
      <c r="A38" s="58"/>
      <c r="B38" t="str">
        <f t="shared" si="0"/>
        <v/>
      </c>
      <c r="E38" s="1"/>
      <c r="F38" s="1"/>
      <c r="G38" s="1"/>
    </row>
    <row r="39" spans="1:8" x14ac:dyDescent="0.25">
      <c r="A39" s="2"/>
      <c r="B39" t="str">
        <f t="shared" si="0"/>
        <v/>
      </c>
      <c r="E39" s="1"/>
      <c r="F39" s="1"/>
      <c r="G39" s="1"/>
    </row>
  </sheetData>
  <mergeCells count="1">
    <mergeCell ref="A1:H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6B6B"/>
    <pageSetUpPr fitToPage="1"/>
  </sheetPr>
  <dimension ref="A1:D42"/>
  <sheetViews>
    <sheetView workbookViewId="0">
      <selection activeCell="A3" sqref="A3:D19"/>
    </sheetView>
  </sheetViews>
  <sheetFormatPr defaultRowHeight="15" x14ac:dyDescent="0.25"/>
  <cols>
    <col min="1" max="1" width="14" customWidth="1"/>
    <col min="2" max="2" width="18" customWidth="1"/>
    <col min="3" max="3" width="14" customWidth="1"/>
    <col min="4" max="4" width="36.140625" customWidth="1"/>
    <col min="7" max="7" width="15.42578125" bestFit="1" customWidth="1"/>
  </cols>
  <sheetData>
    <row r="1" spans="1:4" ht="24" x14ac:dyDescent="0.25">
      <c r="A1" s="63" t="s">
        <v>158</v>
      </c>
      <c r="B1" s="64"/>
      <c r="C1" s="64"/>
      <c r="D1" s="64"/>
    </row>
    <row r="3" spans="1:4" ht="20.25" customHeight="1" x14ac:dyDescent="0.25">
      <c r="A3" s="6" t="s">
        <v>1</v>
      </c>
      <c r="B3" s="6" t="s">
        <v>25</v>
      </c>
      <c r="C3" s="6" t="s">
        <v>26</v>
      </c>
      <c r="D3" s="6" t="s">
        <v>9</v>
      </c>
    </row>
    <row r="4" spans="1:4" ht="15.75" customHeight="1" x14ac:dyDescent="0.25">
      <c r="A4" s="47">
        <v>46218</v>
      </c>
      <c r="B4" s="30" t="s">
        <v>185</v>
      </c>
      <c r="C4" s="30">
        <v>890</v>
      </c>
      <c r="D4" s="30" t="s">
        <v>167</v>
      </c>
    </row>
    <row r="5" spans="1:4" ht="15.75" customHeight="1" x14ac:dyDescent="0.25">
      <c r="A5" s="47">
        <v>46195</v>
      </c>
      <c r="B5" s="30" t="s">
        <v>185</v>
      </c>
      <c r="C5" s="30">
        <v>890</v>
      </c>
      <c r="D5" s="30" t="s">
        <v>169</v>
      </c>
    </row>
    <row r="6" spans="1:4" ht="15.75" x14ac:dyDescent="0.25">
      <c r="A6" s="47">
        <v>46200</v>
      </c>
      <c r="B6" s="30" t="s">
        <v>185</v>
      </c>
      <c r="C6" s="30">
        <f>690+200</f>
        <v>890</v>
      </c>
      <c r="D6" s="37" t="s">
        <v>186</v>
      </c>
    </row>
    <row r="7" spans="1:4" ht="15.75" x14ac:dyDescent="0.25">
      <c r="A7" s="47">
        <v>46200</v>
      </c>
      <c r="B7" s="30" t="s">
        <v>93</v>
      </c>
      <c r="C7" s="30">
        <v>150</v>
      </c>
      <c r="D7" s="37"/>
    </row>
    <row r="8" spans="1:4" ht="15.75" x14ac:dyDescent="0.25">
      <c r="A8" s="47">
        <v>46201</v>
      </c>
      <c r="B8" s="30" t="s">
        <v>112</v>
      </c>
      <c r="C8" s="30">
        <v>80</v>
      </c>
      <c r="D8" s="37"/>
    </row>
    <row r="9" spans="1:4" ht="15.75" x14ac:dyDescent="0.25">
      <c r="A9" s="47">
        <v>46201</v>
      </c>
      <c r="B9" s="30" t="s">
        <v>107</v>
      </c>
      <c r="C9" s="30">
        <v>140</v>
      </c>
      <c r="D9" s="37"/>
    </row>
    <row r="10" spans="1:4" ht="15.75" x14ac:dyDescent="0.25">
      <c r="A10" s="47">
        <v>46201</v>
      </c>
      <c r="B10" s="30" t="s">
        <v>108</v>
      </c>
      <c r="C10" s="30">
        <v>55</v>
      </c>
      <c r="D10" s="37"/>
    </row>
    <row r="11" spans="1:4" ht="15.75" x14ac:dyDescent="0.25">
      <c r="A11" s="47">
        <v>46201</v>
      </c>
      <c r="B11" s="30" t="s">
        <v>93</v>
      </c>
      <c r="C11" s="30">
        <v>120</v>
      </c>
      <c r="D11" s="37"/>
    </row>
    <row r="12" spans="1:4" ht="15.75" x14ac:dyDescent="0.25">
      <c r="A12" s="47">
        <v>46201</v>
      </c>
      <c r="B12" s="30" t="s">
        <v>109</v>
      </c>
      <c r="C12" s="30">
        <v>190</v>
      </c>
      <c r="D12" s="37"/>
    </row>
    <row r="13" spans="1:4" ht="15.75" x14ac:dyDescent="0.25">
      <c r="A13" s="47">
        <v>46202</v>
      </c>
      <c r="B13" s="30" t="s">
        <v>112</v>
      </c>
      <c r="C13" s="30">
        <v>50</v>
      </c>
      <c r="D13" s="37"/>
    </row>
    <row r="14" spans="1:4" ht="15.75" x14ac:dyDescent="0.25">
      <c r="A14" s="47">
        <v>46202</v>
      </c>
      <c r="B14" s="30" t="s">
        <v>114</v>
      </c>
      <c r="C14" s="30">
        <v>180</v>
      </c>
      <c r="D14" s="37"/>
    </row>
    <row r="15" spans="1:4" ht="15.75" x14ac:dyDescent="0.25">
      <c r="A15" s="47">
        <v>46202</v>
      </c>
      <c r="B15" s="30" t="s">
        <v>115</v>
      </c>
      <c r="C15" s="30">
        <v>3800</v>
      </c>
      <c r="D15" s="37"/>
    </row>
    <row r="16" spans="1:4" ht="15.75" x14ac:dyDescent="0.25">
      <c r="A16" s="47">
        <v>46202</v>
      </c>
      <c r="B16" s="30" t="s">
        <v>116</v>
      </c>
      <c r="C16" s="30">
        <v>150</v>
      </c>
      <c r="D16" s="37"/>
    </row>
    <row r="17" spans="1:4" ht="18.75" customHeight="1" x14ac:dyDescent="0.25">
      <c r="B17" s="30" t="s">
        <v>159</v>
      </c>
      <c r="C17" s="30">
        <v>18000</v>
      </c>
      <c r="D17" s="32"/>
    </row>
    <row r="18" spans="1:4" ht="15.75" x14ac:dyDescent="0.25">
      <c r="B18" s="30" t="s">
        <v>165</v>
      </c>
      <c r="C18" s="30">
        <v>1500</v>
      </c>
      <c r="D18" s="32"/>
    </row>
    <row r="19" spans="1:4" ht="20.25" customHeight="1" x14ac:dyDescent="0.25">
      <c r="B19" s="30" t="s">
        <v>164</v>
      </c>
      <c r="C19" s="30">
        <v>2000</v>
      </c>
      <c r="D19" s="32"/>
    </row>
    <row r="20" spans="1:4" ht="22.5" customHeight="1" x14ac:dyDescent="0.25">
      <c r="C20" s="23">
        <f>SUM(C4:C19)</f>
        <v>29085</v>
      </c>
      <c r="D20" s="23" t="s">
        <v>120</v>
      </c>
    </row>
    <row r="23" spans="1:4" x14ac:dyDescent="0.25">
      <c r="A23" s="2"/>
      <c r="C23" s="1"/>
    </row>
    <row r="24" spans="1:4" x14ac:dyDescent="0.25">
      <c r="A24" s="2"/>
      <c r="C24" s="1"/>
    </row>
    <row r="25" spans="1:4" x14ac:dyDescent="0.25">
      <c r="A25" s="2"/>
      <c r="C25" s="1"/>
    </row>
    <row r="26" spans="1:4" x14ac:dyDescent="0.25">
      <c r="A26" s="2"/>
      <c r="C26" s="1"/>
    </row>
    <row r="27" spans="1:4" x14ac:dyDescent="0.25">
      <c r="A27" s="2"/>
      <c r="C27" s="1"/>
    </row>
    <row r="28" spans="1:4" x14ac:dyDescent="0.25">
      <c r="A28" s="2"/>
      <c r="C28" s="1"/>
    </row>
    <row r="29" spans="1:4" x14ac:dyDescent="0.25">
      <c r="A29" s="2"/>
      <c r="C29" s="1"/>
    </row>
    <row r="30" spans="1:4" x14ac:dyDescent="0.25">
      <c r="A30" s="2"/>
      <c r="C30" s="1"/>
    </row>
    <row r="31" spans="1:4" x14ac:dyDescent="0.25">
      <c r="A31" s="2"/>
      <c r="C31" s="1"/>
    </row>
    <row r="32" spans="1:4" x14ac:dyDescent="0.25">
      <c r="A32" s="2"/>
      <c r="C32" s="1"/>
    </row>
    <row r="33" spans="1:4" x14ac:dyDescent="0.25">
      <c r="A33" s="2"/>
      <c r="C33" s="1"/>
    </row>
    <row r="34" spans="1:4" x14ac:dyDescent="0.25">
      <c r="A34" s="2"/>
      <c r="C34" s="1"/>
    </row>
    <row r="35" spans="1:4" x14ac:dyDescent="0.25">
      <c r="A35" s="2"/>
      <c r="C35" s="1"/>
    </row>
    <row r="36" spans="1:4" x14ac:dyDescent="0.25">
      <c r="A36" s="2"/>
      <c r="C36" s="1"/>
    </row>
    <row r="37" spans="1:4" x14ac:dyDescent="0.25">
      <c r="A37" s="2"/>
      <c r="C37" s="1"/>
    </row>
    <row r="38" spans="1:4" x14ac:dyDescent="0.25">
      <c r="A38" s="2"/>
      <c r="C38" s="1"/>
    </row>
    <row r="39" spans="1:4" x14ac:dyDescent="0.25">
      <c r="A39" s="2"/>
      <c r="C39" s="1"/>
    </row>
    <row r="40" spans="1:4" x14ac:dyDescent="0.25">
      <c r="A40" s="2"/>
      <c r="C40" s="1"/>
    </row>
    <row r="42" spans="1:4" x14ac:dyDescent="0.25">
      <c r="A42" s="7" t="s">
        <v>7</v>
      </c>
      <c r="B42" s="8"/>
      <c r="C42" s="9">
        <f>SUM(C6:C40)</f>
        <v>56390</v>
      </c>
      <c r="D42" s="8"/>
    </row>
  </sheetData>
  <mergeCells count="1">
    <mergeCell ref="A1:D1"/>
  </mergeCells>
  <pageMargins left="0.75" right="0.75" top="1" bottom="1" header="0.5" footer="0.5"/>
  <pageSetup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9B4"/>
    <pageSetUpPr fitToPage="1"/>
  </sheetPr>
  <dimension ref="A1:N53"/>
  <sheetViews>
    <sheetView topLeftCell="A17" zoomScale="103" workbookViewId="0">
      <selection activeCell="I8" sqref="I8"/>
    </sheetView>
  </sheetViews>
  <sheetFormatPr defaultRowHeight="15" x14ac:dyDescent="0.25"/>
  <cols>
    <col min="1" max="1" width="14" customWidth="1"/>
    <col min="2" max="5" width="12" customWidth="1"/>
    <col min="6" max="8" width="16" customWidth="1"/>
    <col min="9" max="9" width="18.140625" bestFit="1" customWidth="1"/>
    <col min="10" max="10" width="33.140625" bestFit="1" customWidth="1"/>
    <col min="12" max="12" width="10.140625" bestFit="1" customWidth="1"/>
  </cols>
  <sheetData>
    <row r="1" spans="1:10" ht="24" x14ac:dyDescent="0.25">
      <c r="A1" s="65" t="s">
        <v>28</v>
      </c>
      <c r="B1" s="64"/>
      <c r="C1" s="64"/>
      <c r="D1" s="64"/>
      <c r="E1" s="64"/>
      <c r="F1" s="64"/>
      <c r="G1" s="64"/>
      <c r="H1" s="64"/>
      <c r="I1" s="64"/>
      <c r="J1" s="64"/>
    </row>
    <row r="3" spans="1:10" x14ac:dyDescent="0.25">
      <c r="B3" s="1"/>
      <c r="C3" s="1"/>
      <c r="D3" s="1"/>
      <c r="E3" s="1"/>
    </row>
    <row r="4" spans="1:10" x14ac:dyDescent="0.25">
      <c r="B4" s="1"/>
      <c r="C4" s="1"/>
      <c r="D4" s="1"/>
      <c r="E4" s="1"/>
    </row>
    <row r="5" spans="1:10" x14ac:dyDescent="0.25">
      <c r="B5" s="1"/>
      <c r="C5" s="1"/>
      <c r="D5" s="1"/>
      <c r="E5" s="1"/>
    </row>
    <row r="7" spans="1:10" ht="18.75" x14ac:dyDescent="0.3">
      <c r="A7" s="5"/>
      <c r="B7" s="10"/>
      <c r="C7" s="10"/>
      <c r="D7" s="10"/>
      <c r="E7" s="10"/>
      <c r="F7" s="66" t="s">
        <v>191</v>
      </c>
      <c r="G7" s="66"/>
    </row>
    <row r="8" spans="1:10" x14ac:dyDescent="0.25">
      <c r="F8" s="66"/>
      <c r="G8" s="66"/>
    </row>
    <row r="9" spans="1:10" ht="18.75" x14ac:dyDescent="0.3">
      <c r="A9" s="4"/>
    </row>
    <row r="10" spans="1:10" x14ac:dyDescent="0.25">
      <c r="A10" s="6" t="s">
        <v>1</v>
      </c>
      <c r="B10" s="6" t="s">
        <v>2</v>
      </c>
      <c r="C10" s="15" t="s">
        <v>17</v>
      </c>
      <c r="D10" s="15" t="s">
        <v>100</v>
      </c>
      <c r="E10" s="15" t="s">
        <v>89</v>
      </c>
      <c r="F10" s="6" t="s">
        <v>29</v>
      </c>
      <c r="G10" s="6" t="s">
        <v>30</v>
      </c>
      <c r="H10" s="15" t="s">
        <v>92</v>
      </c>
      <c r="I10" s="18" t="s">
        <v>119</v>
      </c>
      <c r="J10" s="6" t="s">
        <v>9</v>
      </c>
    </row>
    <row r="11" spans="1:10" x14ac:dyDescent="0.25">
      <c r="A11" s="16">
        <v>46174</v>
      </c>
      <c r="B11" s="14" t="s">
        <v>18</v>
      </c>
      <c r="C11" s="28"/>
      <c r="D11" s="28"/>
      <c r="E11" s="28"/>
      <c r="F11" s="25"/>
      <c r="G11" s="25"/>
      <c r="H11" s="25"/>
      <c r="I11" s="24"/>
      <c r="J11" s="14"/>
    </row>
    <row r="12" spans="1:10" x14ac:dyDescent="0.25">
      <c r="A12" s="16">
        <v>46175</v>
      </c>
      <c r="B12" s="14" t="s">
        <v>19</v>
      </c>
      <c r="C12" s="28"/>
      <c r="D12" s="28"/>
      <c r="E12" s="28"/>
      <c r="F12" s="25"/>
      <c r="G12" s="25"/>
      <c r="H12" s="25"/>
      <c r="I12" s="24"/>
      <c r="J12" s="14"/>
    </row>
    <row r="13" spans="1:10" x14ac:dyDescent="0.25">
      <c r="A13" s="16">
        <v>46176</v>
      </c>
      <c r="B13" s="14" t="s">
        <v>20</v>
      </c>
      <c r="C13" s="28"/>
      <c r="D13" s="28"/>
      <c r="E13" s="28"/>
      <c r="F13" s="25"/>
      <c r="G13" s="25"/>
      <c r="H13" s="25"/>
      <c r="I13" s="24"/>
      <c r="J13" s="14"/>
    </row>
    <row r="14" spans="1:10" x14ac:dyDescent="0.25">
      <c r="A14" s="16">
        <v>46177</v>
      </c>
      <c r="B14" s="14" t="s">
        <v>21</v>
      </c>
      <c r="C14" s="28"/>
      <c r="D14" s="28"/>
      <c r="E14" s="28"/>
      <c r="F14" s="25"/>
      <c r="G14" s="25"/>
      <c r="H14" s="25"/>
      <c r="I14" s="24"/>
      <c r="J14" s="14"/>
    </row>
    <row r="15" spans="1:10" x14ac:dyDescent="0.25">
      <c r="A15" s="16">
        <v>46178</v>
      </c>
      <c r="B15" s="14" t="s">
        <v>22</v>
      </c>
      <c r="C15" s="28"/>
      <c r="D15" s="28"/>
      <c r="E15" s="28"/>
      <c r="F15" s="25"/>
      <c r="G15" s="25"/>
      <c r="H15" s="25"/>
      <c r="I15" s="24"/>
      <c r="J15" s="14"/>
    </row>
    <row r="16" spans="1:10" x14ac:dyDescent="0.25">
      <c r="A16" s="16">
        <v>46179</v>
      </c>
      <c r="B16" s="14" t="s">
        <v>23</v>
      </c>
      <c r="C16" s="28"/>
      <c r="D16" s="28"/>
      <c r="E16" s="28"/>
      <c r="F16" s="25"/>
      <c r="G16" s="25"/>
      <c r="H16" s="25"/>
      <c r="I16" s="24"/>
      <c r="J16" s="14"/>
    </row>
    <row r="17" spans="1:14" x14ac:dyDescent="0.25">
      <c r="A17" s="16">
        <v>46180</v>
      </c>
      <c r="B17" s="14" t="s">
        <v>24</v>
      </c>
      <c r="C17" s="28"/>
      <c r="D17" s="28"/>
      <c r="E17" s="28"/>
      <c r="F17" s="25"/>
      <c r="G17" s="25"/>
      <c r="H17" s="25"/>
      <c r="I17" s="41">
        <v>4150</v>
      </c>
      <c r="J17" s="19"/>
    </row>
    <row r="18" spans="1:14" x14ac:dyDescent="0.25">
      <c r="A18" s="16">
        <v>46181</v>
      </c>
      <c r="B18" s="14" t="s">
        <v>18</v>
      </c>
      <c r="C18" s="28"/>
      <c r="D18" s="28"/>
      <c r="E18" s="28"/>
      <c r="F18" s="25"/>
      <c r="G18" s="25"/>
      <c r="H18" s="25"/>
      <c r="I18" s="41">
        <v>3885</v>
      </c>
      <c r="J18" s="19"/>
    </row>
    <row r="19" spans="1:14" x14ac:dyDescent="0.25">
      <c r="A19" s="16">
        <v>46182</v>
      </c>
      <c r="B19" s="14" t="s">
        <v>19</v>
      </c>
      <c r="C19" s="28"/>
      <c r="D19" s="28"/>
      <c r="E19" s="28"/>
      <c r="F19" s="25"/>
      <c r="G19" s="25"/>
      <c r="H19" s="25"/>
      <c r="I19" s="41">
        <v>2685</v>
      </c>
      <c r="J19" s="49" t="s">
        <v>170</v>
      </c>
    </row>
    <row r="20" spans="1:14" x14ac:dyDescent="0.25">
      <c r="A20" s="16">
        <v>46183</v>
      </c>
      <c r="B20" s="14" t="s">
        <v>20</v>
      </c>
      <c r="C20" s="28"/>
      <c r="D20" s="28"/>
      <c r="E20" s="28"/>
      <c r="F20" s="25"/>
      <c r="G20" s="25"/>
      <c r="H20" s="25"/>
      <c r="I20" s="41">
        <v>2193</v>
      </c>
      <c r="J20" s="49" t="s">
        <v>170</v>
      </c>
    </row>
    <row r="21" spans="1:14" x14ac:dyDescent="0.25">
      <c r="A21" s="16">
        <v>46184</v>
      </c>
      <c r="B21" s="14" t="s">
        <v>21</v>
      </c>
      <c r="C21" s="28"/>
      <c r="D21" s="28"/>
      <c r="E21" s="28"/>
      <c r="F21" s="25"/>
      <c r="G21" s="25"/>
      <c r="H21" s="25"/>
      <c r="I21" s="41">
        <v>6445</v>
      </c>
      <c r="J21" s="48"/>
      <c r="N21" s="3"/>
    </row>
    <row r="22" spans="1:14" x14ac:dyDescent="0.25">
      <c r="A22" s="16">
        <v>46185</v>
      </c>
      <c r="B22" s="14" t="s">
        <v>22</v>
      </c>
      <c r="C22" s="28"/>
      <c r="D22" s="28"/>
      <c r="E22" s="28"/>
      <c r="F22" s="25"/>
      <c r="G22" s="25"/>
      <c r="H22" s="25"/>
      <c r="I22" s="41">
        <v>8050</v>
      </c>
      <c r="J22" s="48"/>
    </row>
    <row r="23" spans="1:14" x14ac:dyDescent="0.25">
      <c r="A23" s="16">
        <v>46186</v>
      </c>
      <c r="B23" s="14" t="s">
        <v>23</v>
      </c>
      <c r="C23" s="28"/>
      <c r="D23" s="28"/>
      <c r="E23" s="28"/>
      <c r="F23" s="25"/>
      <c r="G23" s="25"/>
      <c r="H23" s="25"/>
      <c r="I23" s="41">
        <v>11755</v>
      </c>
      <c r="J23" s="48"/>
    </row>
    <row r="24" spans="1:14" x14ac:dyDescent="0.25">
      <c r="A24" s="16">
        <v>46187</v>
      </c>
      <c r="B24" s="14" t="s">
        <v>24</v>
      </c>
      <c r="C24" s="28"/>
      <c r="D24" s="28"/>
      <c r="E24" s="28"/>
      <c r="F24" s="25"/>
      <c r="G24" s="25"/>
      <c r="H24" s="25"/>
      <c r="I24" s="41">
        <v>6955</v>
      </c>
      <c r="J24" s="48"/>
    </row>
    <row r="25" spans="1:14" x14ac:dyDescent="0.25">
      <c r="A25" s="16">
        <v>46188</v>
      </c>
      <c r="B25" s="14" t="s">
        <v>18</v>
      </c>
      <c r="C25" s="28"/>
      <c r="D25" s="28"/>
      <c r="E25" s="28"/>
      <c r="F25" s="25"/>
      <c r="G25" s="25"/>
      <c r="H25" s="25"/>
      <c r="I25" s="41">
        <v>10900</v>
      </c>
      <c r="J25" s="49" t="s">
        <v>168</v>
      </c>
      <c r="L25" s="1"/>
    </row>
    <row r="26" spans="1:14" x14ac:dyDescent="0.25">
      <c r="A26" s="16">
        <v>46189</v>
      </c>
      <c r="B26" s="14" t="s">
        <v>19</v>
      </c>
      <c r="C26" s="28"/>
      <c r="D26" s="28"/>
      <c r="E26" s="28"/>
      <c r="F26" s="25"/>
      <c r="G26" s="25"/>
      <c r="H26" s="25"/>
      <c r="I26" s="41">
        <v>7150</v>
      </c>
      <c r="J26" s="48"/>
    </row>
    <row r="27" spans="1:14" x14ac:dyDescent="0.25">
      <c r="A27" s="16">
        <v>46190</v>
      </c>
      <c r="B27" s="14" t="s">
        <v>20</v>
      </c>
      <c r="C27" s="28"/>
      <c r="D27" s="28"/>
      <c r="E27" s="28"/>
      <c r="F27" s="25"/>
      <c r="G27" s="25"/>
      <c r="H27" s="25"/>
      <c r="I27" s="41">
        <v>10020</v>
      </c>
      <c r="J27" s="48"/>
      <c r="L27" s="1"/>
    </row>
    <row r="28" spans="1:14" x14ac:dyDescent="0.25">
      <c r="A28" s="16">
        <v>46191</v>
      </c>
      <c r="B28" s="14" t="s">
        <v>21</v>
      </c>
      <c r="C28" s="28"/>
      <c r="D28" s="28"/>
      <c r="E28" s="28"/>
      <c r="F28" s="25"/>
      <c r="G28" s="25"/>
      <c r="H28" s="25"/>
      <c r="I28" s="41">
        <v>8550</v>
      </c>
      <c r="J28" s="48"/>
    </row>
    <row r="29" spans="1:14" x14ac:dyDescent="0.25">
      <c r="A29" s="16">
        <v>46192</v>
      </c>
      <c r="B29" s="14" t="s">
        <v>22</v>
      </c>
      <c r="C29" s="28"/>
      <c r="D29" s="28"/>
      <c r="E29" s="28"/>
      <c r="F29" s="25"/>
      <c r="G29" s="25"/>
      <c r="H29" s="25"/>
      <c r="I29" s="41">
        <v>5155</v>
      </c>
      <c r="J29" s="48"/>
    </row>
    <row r="30" spans="1:14" x14ac:dyDescent="0.25">
      <c r="A30" s="16">
        <v>46193</v>
      </c>
      <c r="B30" s="14" t="s">
        <v>23</v>
      </c>
      <c r="C30" s="28"/>
      <c r="D30" s="28"/>
      <c r="E30" s="28"/>
      <c r="F30" s="25"/>
      <c r="G30" s="25"/>
      <c r="H30" s="25"/>
      <c r="I30" s="41">
        <v>9100</v>
      </c>
      <c r="J30" s="48"/>
      <c r="N30" s="3"/>
    </row>
    <row r="31" spans="1:14" x14ac:dyDescent="0.25">
      <c r="A31" s="16">
        <v>46194</v>
      </c>
      <c r="B31" s="14" t="s">
        <v>24</v>
      </c>
      <c r="C31" s="28"/>
      <c r="D31" s="28"/>
      <c r="E31" s="28"/>
      <c r="F31" s="25"/>
      <c r="G31" s="25"/>
      <c r="H31" s="25"/>
      <c r="I31" s="41">
        <v>11850</v>
      </c>
      <c r="J31" s="48"/>
    </row>
    <row r="32" spans="1:14" x14ac:dyDescent="0.25">
      <c r="A32" s="16">
        <v>46195</v>
      </c>
      <c r="B32" s="14" t="s">
        <v>18</v>
      </c>
      <c r="C32" s="28"/>
      <c r="D32" s="28"/>
      <c r="E32" s="28"/>
      <c r="F32" s="25"/>
      <c r="G32" s="25"/>
      <c r="H32" s="25"/>
      <c r="I32" s="41">
        <v>10700</v>
      </c>
      <c r="J32" s="49" t="s">
        <v>169</v>
      </c>
    </row>
    <row r="33" spans="1:10" x14ac:dyDescent="0.25">
      <c r="A33" s="16">
        <v>46196</v>
      </c>
      <c r="B33" s="14" t="s">
        <v>19</v>
      </c>
      <c r="C33" s="28"/>
      <c r="D33" s="28"/>
      <c r="E33" s="28"/>
      <c r="F33" s="25"/>
      <c r="G33" s="25"/>
      <c r="H33" s="25"/>
      <c r="I33" s="41">
        <v>9700</v>
      </c>
      <c r="J33" s="48"/>
    </row>
    <row r="34" spans="1:10" x14ac:dyDescent="0.25">
      <c r="A34" s="16">
        <v>46197</v>
      </c>
      <c r="B34" s="14" t="s">
        <v>20</v>
      </c>
      <c r="C34" s="28"/>
      <c r="D34" s="28"/>
      <c r="E34" s="28"/>
      <c r="F34" s="25"/>
      <c r="G34" s="25"/>
      <c r="H34" s="25"/>
      <c r="I34" s="41">
        <v>11000</v>
      </c>
      <c r="J34" s="48"/>
    </row>
    <row r="35" spans="1:10" ht="18.75" customHeight="1" x14ac:dyDescent="0.25">
      <c r="A35" s="16">
        <v>46198</v>
      </c>
      <c r="B35" s="14" t="s">
        <v>21</v>
      </c>
      <c r="C35" s="28"/>
      <c r="D35" s="28"/>
      <c r="E35" s="28"/>
      <c r="F35" s="25"/>
      <c r="G35" s="25"/>
      <c r="H35" s="25"/>
      <c r="I35" s="41">
        <v>15032</v>
      </c>
      <c r="J35" s="48"/>
    </row>
    <row r="36" spans="1:10" ht="15" customHeight="1" x14ac:dyDescent="0.25">
      <c r="A36" s="16">
        <v>46199</v>
      </c>
      <c r="B36" s="14" t="s">
        <v>22</v>
      </c>
      <c r="C36" s="28"/>
      <c r="D36" s="28"/>
      <c r="E36" s="28"/>
      <c r="F36" s="25"/>
      <c r="G36" s="25"/>
      <c r="H36" s="25"/>
      <c r="I36" s="41">
        <v>19573</v>
      </c>
      <c r="J36" s="49" t="s">
        <v>171</v>
      </c>
    </row>
    <row r="37" spans="1:10" x14ac:dyDescent="0.25">
      <c r="A37" s="16">
        <v>46200</v>
      </c>
      <c r="B37" s="14" t="s">
        <v>23</v>
      </c>
      <c r="C37" s="49">
        <v>9665</v>
      </c>
      <c r="D37" s="49">
        <v>600</v>
      </c>
      <c r="E37" s="49">
        <v>325</v>
      </c>
      <c r="F37" s="26">
        <v>1635</v>
      </c>
      <c r="G37" s="26">
        <f>890+150</f>
        <v>1040</v>
      </c>
      <c r="H37" s="26">
        <v>125</v>
      </c>
      <c r="I37" s="41">
        <v>13390</v>
      </c>
      <c r="J37" s="20" t="s">
        <v>172</v>
      </c>
    </row>
    <row r="38" spans="1:10" x14ac:dyDescent="0.25">
      <c r="A38" s="16">
        <v>46201</v>
      </c>
      <c r="B38" s="14" t="s">
        <v>24</v>
      </c>
      <c r="C38" s="49">
        <f>4640+8560</f>
        <v>13200</v>
      </c>
      <c r="D38" s="30">
        <f>170+40+30+200+350+200+180+345+90+45+390+120</f>
        <v>2160</v>
      </c>
      <c r="E38" s="30"/>
      <c r="F38" s="26">
        <f>845+300+170</f>
        <v>1315</v>
      </c>
      <c r="G38" s="26">
        <f>140+55+120+270</f>
        <v>585</v>
      </c>
      <c r="H38" s="26">
        <f>30+140+30+30+15+10+20+20+100</f>
        <v>395</v>
      </c>
      <c r="I38" s="41">
        <v>17655</v>
      </c>
      <c r="J38" s="20" t="s">
        <v>101</v>
      </c>
    </row>
    <row r="39" spans="1:10" x14ac:dyDescent="0.25">
      <c r="A39" s="16">
        <v>46202</v>
      </c>
      <c r="B39" s="14" t="s">
        <v>18</v>
      </c>
      <c r="C39" s="30">
        <v>2070</v>
      </c>
      <c r="D39" s="30">
        <f>215+235+80+165</f>
        <v>695</v>
      </c>
      <c r="E39" s="30">
        <v>105</v>
      </c>
      <c r="F39" s="26">
        <f>450+9450</f>
        <v>9900</v>
      </c>
      <c r="G39" s="26">
        <f>150+3800+180+50</f>
        <v>4180</v>
      </c>
      <c r="H39" s="26">
        <f>200+15+250+100+100+100+100</f>
        <v>865</v>
      </c>
      <c r="I39" s="41">
        <f>SUM(C39:H39)</f>
        <v>17815</v>
      </c>
      <c r="J39" s="20" t="s">
        <v>113</v>
      </c>
    </row>
    <row r="40" spans="1:10" x14ac:dyDescent="0.25">
      <c r="A40" s="16">
        <v>46203</v>
      </c>
      <c r="B40" s="14" t="s">
        <v>19</v>
      </c>
      <c r="C40" s="30">
        <v>3965</v>
      </c>
      <c r="D40" s="30">
        <f>245+80+425+100+175+330</f>
        <v>1355</v>
      </c>
      <c r="E40" s="30"/>
      <c r="F40" s="26">
        <f>1700+10000+350</f>
        <v>12050</v>
      </c>
      <c r="G40" s="26">
        <f>4065+300+100+85</f>
        <v>4550</v>
      </c>
      <c r="H40" s="26">
        <f>100+200+50+15+110+115+100+100+10</f>
        <v>800</v>
      </c>
      <c r="I40" s="41">
        <f>SUM(C40:H40)</f>
        <v>22720</v>
      </c>
      <c r="J40" s="14"/>
    </row>
    <row r="41" spans="1:10" ht="39" customHeight="1" x14ac:dyDescent="0.25">
      <c r="I41" s="71">
        <f>SUM(I17:I40)</f>
        <v>246428</v>
      </c>
      <c r="J41" s="38" t="s">
        <v>119</v>
      </c>
    </row>
    <row r="50" spans="9:9" x14ac:dyDescent="0.25">
      <c r="I50">
        <f>65134+150605+27305</f>
        <v>243044</v>
      </c>
    </row>
    <row r="53" spans="9:9" x14ac:dyDescent="0.25">
      <c r="I53">
        <f>243044-246428</f>
        <v>-3384</v>
      </c>
    </row>
  </sheetData>
  <mergeCells count="2">
    <mergeCell ref="A1:J1"/>
    <mergeCell ref="F7:G8"/>
  </mergeCells>
  <phoneticPr fontId="7" type="noConversion"/>
  <pageMargins left="0.75" right="0.75" top="1" bottom="1" header="0.5" footer="0.5"/>
  <pageSetup scale="56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  <pageSetUpPr fitToPage="1"/>
  </sheetPr>
  <dimension ref="A1:V46"/>
  <sheetViews>
    <sheetView workbookViewId="0">
      <selection activeCell="N12" sqref="N12"/>
    </sheetView>
  </sheetViews>
  <sheetFormatPr defaultRowHeight="15" x14ac:dyDescent="0.25"/>
  <cols>
    <col min="1" max="1" width="6" customWidth="1"/>
    <col min="2" max="2" width="20" customWidth="1"/>
    <col min="3" max="3" width="16" customWidth="1"/>
    <col min="4" max="4" width="20" bestFit="1" customWidth="1"/>
    <col min="5" max="5" width="12" customWidth="1"/>
    <col min="6" max="6" width="14" customWidth="1"/>
    <col min="7" max="7" width="12" customWidth="1"/>
    <col min="8" max="9" width="14" customWidth="1"/>
    <col min="10" max="10" width="12.140625" customWidth="1"/>
    <col min="11" max="11" width="21.140625" customWidth="1"/>
    <col min="12" max="12" width="14.42578125" customWidth="1"/>
    <col min="13" max="13" width="18.5703125" bestFit="1" customWidth="1"/>
    <col min="14" max="14" width="11.28515625" bestFit="1" customWidth="1"/>
    <col min="15" max="16" width="10.42578125" bestFit="1" customWidth="1"/>
    <col min="17" max="17" width="18.140625" bestFit="1" customWidth="1"/>
    <col min="21" max="21" width="10.140625" customWidth="1"/>
    <col min="22" max="22" width="13.140625" customWidth="1"/>
  </cols>
  <sheetData>
    <row r="1" spans="1:22" ht="24" x14ac:dyDescent="0.25">
      <c r="A1" s="65"/>
      <c r="B1" s="64"/>
      <c r="C1" s="64"/>
      <c r="D1" s="64"/>
      <c r="E1" s="64"/>
      <c r="F1" s="64"/>
      <c r="G1" s="64"/>
      <c r="H1" s="64"/>
      <c r="I1" s="64"/>
    </row>
    <row r="2" spans="1:22" x14ac:dyDescent="0.25">
      <c r="C2" s="69" t="s">
        <v>156</v>
      </c>
      <c r="D2" s="69"/>
      <c r="E2" s="69"/>
      <c r="F2" s="69"/>
      <c r="G2" s="69"/>
    </row>
    <row r="3" spans="1:22" x14ac:dyDescent="0.25">
      <c r="C3" s="69"/>
      <c r="D3" s="69"/>
      <c r="E3" s="69"/>
      <c r="F3" s="69"/>
      <c r="G3" s="69"/>
    </row>
    <row r="5" spans="1:22" ht="15.75" x14ac:dyDescent="0.25">
      <c r="A5" s="6" t="s">
        <v>12</v>
      </c>
      <c r="B5" s="6" t="s">
        <v>13</v>
      </c>
      <c r="C5" s="6" t="s">
        <v>14</v>
      </c>
      <c r="D5" s="6" t="s">
        <v>32</v>
      </c>
      <c r="E5" s="6" t="s">
        <v>33</v>
      </c>
      <c r="F5" s="6" t="s">
        <v>34</v>
      </c>
      <c r="G5" s="6" t="s">
        <v>35</v>
      </c>
      <c r="H5" s="6" t="s">
        <v>36</v>
      </c>
      <c r="I5" s="15" t="s">
        <v>147</v>
      </c>
      <c r="J5" s="15" t="s">
        <v>95</v>
      </c>
      <c r="K5" s="15" t="s">
        <v>9</v>
      </c>
      <c r="U5" s="67" t="s">
        <v>142</v>
      </c>
      <c r="V5" s="68"/>
    </row>
    <row r="6" spans="1:22" x14ac:dyDescent="0.25">
      <c r="A6" s="14">
        <v>1</v>
      </c>
      <c r="B6" s="30" t="s">
        <v>153</v>
      </c>
      <c r="C6" s="30"/>
      <c r="D6" s="25"/>
      <c r="E6" s="26"/>
      <c r="F6" s="41">
        <f>50+15+50+80+20+10+30+15</f>
        <v>270</v>
      </c>
      <c r="G6" s="26" t="s">
        <v>192</v>
      </c>
      <c r="H6" s="26"/>
      <c r="I6" s="72"/>
      <c r="J6" s="30"/>
      <c r="K6" s="30"/>
      <c r="U6" s="30" t="s">
        <v>148</v>
      </c>
      <c r="V6" s="30" t="s">
        <v>94</v>
      </c>
    </row>
    <row r="7" spans="1:22" x14ac:dyDescent="0.25">
      <c r="A7" s="14">
        <v>2</v>
      </c>
      <c r="B7" s="30" t="s">
        <v>88</v>
      </c>
      <c r="C7" s="30"/>
      <c r="D7" s="25"/>
      <c r="E7" s="26"/>
      <c r="F7" s="41"/>
      <c r="G7" s="26"/>
      <c r="H7" s="26"/>
      <c r="I7" s="30">
        <v>5050</v>
      </c>
      <c r="J7" s="30"/>
      <c r="K7" s="30" t="s">
        <v>195</v>
      </c>
      <c r="U7" s="30" t="s">
        <v>149</v>
      </c>
      <c r="V7" s="30">
        <v>1665</v>
      </c>
    </row>
    <row r="8" spans="1:22" x14ac:dyDescent="0.25">
      <c r="A8" s="14">
        <v>3</v>
      </c>
      <c r="B8" s="30" t="s">
        <v>76</v>
      </c>
      <c r="C8" s="30"/>
      <c r="D8" s="25"/>
      <c r="E8" s="26"/>
      <c r="F8" s="41"/>
      <c r="G8" s="26"/>
      <c r="H8" s="26"/>
      <c r="I8" s="30">
        <v>5000</v>
      </c>
      <c r="J8" s="30"/>
      <c r="K8" s="30" t="s">
        <v>195</v>
      </c>
      <c r="U8" s="30" t="s">
        <v>144</v>
      </c>
      <c r="V8" s="30">
        <v>300</v>
      </c>
    </row>
    <row r="9" spans="1:22" x14ac:dyDescent="0.25">
      <c r="A9" s="14">
        <v>4</v>
      </c>
      <c r="B9" s="30" t="s">
        <v>77</v>
      </c>
      <c r="C9" s="30"/>
      <c r="D9" s="25"/>
      <c r="E9" s="26"/>
      <c r="F9" s="41"/>
      <c r="G9" s="26"/>
      <c r="H9" s="26"/>
      <c r="I9" s="30">
        <v>5000</v>
      </c>
      <c r="J9" s="30"/>
      <c r="K9" s="30" t="s">
        <v>195</v>
      </c>
      <c r="U9" s="30" t="s">
        <v>143</v>
      </c>
      <c r="V9" s="30">
        <v>4104</v>
      </c>
    </row>
    <row r="10" spans="1:22" x14ac:dyDescent="0.25">
      <c r="A10" s="14">
        <v>5</v>
      </c>
      <c r="B10" s="30" t="s">
        <v>78</v>
      </c>
      <c r="C10" s="30"/>
      <c r="D10" s="25"/>
      <c r="E10" s="26"/>
      <c r="F10" s="41"/>
      <c r="G10" s="26"/>
      <c r="H10" s="26"/>
      <c r="I10" s="30">
        <v>6120</v>
      </c>
      <c r="J10" s="30"/>
      <c r="K10" s="30" t="s">
        <v>142</v>
      </c>
      <c r="U10" s="30" t="s">
        <v>150</v>
      </c>
      <c r="V10" s="30">
        <v>2000</v>
      </c>
    </row>
    <row r="11" spans="1:22" x14ac:dyDescent="0.25">
      <c r="A11" s="14">
        <v>6</v>
      </c>
      <c r="B11" s="30" t="s">
        <v>79</v>
      </c>
      <c r="C11" s="30"/>
      <c r="D11" s="25"/>
      <c r="E11" s="26"/>
      <c r="F11" s="41"/>
      <c r="G11" s="26"/>
      <c r="H11" s="26"/>
      <c r="I11" s="73">
        <v>2750</v>
      </c>
      <c r="J11" s="30"/>
      <c r="K11" s="30" t="s">
        <v>195</v>
      </c>
      <c r="U11" s="30" t="s">
        <v>141</v>
      </c>
      <c r="V11" s="30">
        <v>9000</v>
      </c>
    </row>
    <row r="12" spans="1:22" x14ac:dyDescent="0.25">
      <c r="A12" s="14">
        <v>7</v>
      </c>
      <c r="B12" s="30" t="s">
        <v>194</v>
      </c>
      <c r="C12" s="30"/>
      <c r="D12" s="25"/>
      <c r="E12" s="26"/>
      <c r="F12" s="41">
        <f>150+120</f>
        <v>270</v>
      </c>
      <c r="G12" s="26"/>
      <c r="H12" s="26"/>
      <c r="I12" s="73">
        <v>3000</v>
      </c>
      <c r="J12" s="30">
        <v>-520</v>
      </c>
      <c r="K12" s="30" t="s">
        <v>195</v>
      </c>
      <c r="U12" s="30" t="s">
        <v>151</v>
      </c>
      <c r="V12" s="30">
        <v>1290</v>
      </c>
    </row>
    <row r="13" spans="1:22" x14ac:dyDescent="0.25">
      <c r="A13" s="14">
        <v>8</v>
      </c>
      <c r="B13" s="30" t="s">
        <v>80</v>
      </c>
      <c r="C13" s="30"/>
      <c r="D13" s="25"/>
      <c r="E13" s="26"/>
      <c r="F13" s="41"/>
      <c r="G13" s="26"/>
      <c r="H13" s="26"/>
      <c r="I13" s="30">
        <v>3675</v>
      </c>
      <c r="J13" s="30"/>
      <c r="K13" s="30" t="s">
        <v>195</v>
      </c>
      <c r="U13" s="30" t="s">
        <v>160</v>
      </c>
      <c r="V13" s="30">
        <v>1500</v>
      </c>
    </row>
    <row r="14" spans="1:22" x14ac:dyDescent="0.25">
      <c r="A14" s="14">
        <v>9</v>
      </c>
      <c r="B14" s="30" t="s">
        <v>152</v>
      </c>
      <c r="C14" s="30"/>
      <c r="D14" s="25"/>
      <c r="E14" s="26"/>
      <c r="F14" s="41">
        <f>200+30+15+200+15+20+20+70+87+25+10+10+30+355</f>
        <v>1087</v>
      </c>
      <c r="G14" s="26"/>
      <c r="H14" s="26"/>
      <c r="I14" s="70">
        <v>3000</v>
      </c>
      <c r="J14" s="30"/>
      <c r="K14" s="30"/>
      <c r="U14" s="30" t="s">
        <v>161</v>
      </c>
      <c r="V14" s="30">
        <v>6120</v>
      </c>
    </row>
    <row r="15" spans="1:22" x14ac:dyDescent="0.25">
      <c r="A15" s="14">
        <v>10</v>
      </c>
      <c r="B15" s="30" t="s">
        <v>83</v>
      </c>
      <c r="C15" s="30"/>
      <c r="D15" s="25"/>
      <c r="E15" s="26"/>
      <c r="F15" s="41"/>
      <c r="G15" s="26"/>
      <c r="H15" s="26"/>
      <c r="I15" s="30">
        <v>8350</v>
      </c>
      <c r="J15" s="30"/>
      <c r="K15" s="30" t="s">
        <v>142</v>
      </c>
      <c r="U15" s="30" t="s">
        <v>162</v>
      </c>
      <c r="V15" s="30">
        <v>8350</v>
      </c>
    </row>
    <row r="16" spans="1:22" x14ac:dyDescent="0.25">
      <c r="A16" s="14">
        <v>11</v>
      </c>
      <c r="B16" s="30" t="s">
        <v>84</v>
      </c>
      <c r="C16" s="30"/>
      <c r="D16" s="25"/>
      <c r="E16" s="26"/>
      <c r="F16" s="41"/>
      <c r="G16" s="26"/>
      <c r="H16" s="26"/>
      <c r="I16" s="30">
        <v>9000</v>
      </c>
      <c r="J16" s="30"/>
      <c r="K16" s="30" t="s">
        <v>142</v>
      </c>
      <c r="U16" s="30" t="s">
        <v>155</v>
      </c>
      <c r="V16" s="30">
        <v>4000</v>
      </c>
    </row>
    <row r="17" spans="1:11" x14ac:dyDescent="0.25">
      <c r="A17" s="14">
        <v>12</v>
      </c>
      <c r="B17" s="30" t="s">
        <v>85</v>
      </c>
      <c r="C17" s="30"/>
      <c r="D17" s="25"/>
      <c r="E17" s="26"/>
      <c r="F17" s="41">
        <v>400</v>
      </c>
      <c r="G17" s="26"/>
      <c r="H17" s="26"/>
      <c r="I17" s="30">
        <v>1770</v>
      </c>
      <c r="J17" s="30"/>
      <c r="K17" s="30" t="s">
        <v>142</v>
      </c>
    </row>
    <row r="18" spans="1:11" x14ac:dyDescent="0.25">
      <c r="A18" s="14">
        <v>13</v>
      </c>
      <c r="B18" s="30" t="s">
        <v>86</v>
      </c>
      <c r="C18" s="30"/>
      <c r="D18" s="25"/>
      <c r="E18" s="26"/>
      <c r="F18" s="41">
        <v>400</v>
      </c>
      <c r="G18" s="26"/>
      <c r="H18" s="26"/>
      <c r="I18" s="74">
        <v>600</v>
      </c>
      <c r="J18" s="30"/>
      <c r="K18" s="30" t="s">
        <v>142</v>
      </c>
    </row>
    <row r="19" spans="1:11" x14ac:dyDescent="0.25">
      <c r="A19" s="14">
        <v>14</v>
      </c>
      <c r="B19" s="30" t="s">
        <v>87</v>
      </c>
      <c r="C19" s="30"/>
      <c r="D19" s="25"/>
      <c r="E19" s="26"/>
      <c r="F19" s="41"/>
      <c r="G19" s="26"/>
      <c r="H19" s="26"/>
      <c r="I19" s="73">
        <v>1000</v>
      </c>
      <c r="J19" s="30"/>
      <c r="K19" s="30" t="s">
        <v>195</v>
      </c>
    </row>
    <row r="20" spans="1:11" x14ac:dyDescent="0.25">
      <c r="A20" s="14">
        <v>15</v>
      </c>
      <c r="B20" s="30" t="s">
        <v>75</v>
      </c>
      <c r="C20" s="30"/>
      <c r="D20" s="25"/>
      <c r="E20" s="26"/>
      <c r="F20" s="41"/>
      <c r="G20" s="26"/>
      <c r="H20" s="26"/>
      <c r="I20" s="30">
        <f>6000+1000+1500+500</f>
        <v>9000</v>
      </c>
      <c r="J20" s="30"/>
      <c r="K20" s="30"/>
    </row>
    <row r="21" spans="1:11" x14ac:dyDescent="0.25">
      <c r="A21" s="14"/>
      <c r="B21" s="30" t="s">
        <v>129</v>
      </c>
      <c r="C21" s="30"/>
      <c r="D21" s="25"/>
      <c r="E21" s="26"/>
      <c r="F21" s="41"/>
      <c r="G21" s="26"/>
      <c r="H21" s="26"/>
      <c r="I21" s="30">
        <f>2750+1660</f>
        <v>4410</v>
      </c>
      <c r="J21" s="30"/>
      <c r="K21" s="30"/>
    </row>
    <row r="22" spans="1:11" x14ac:dyDescent="0.25">
      <c r="A22" s="14">
        <v>16</v>
      </c>
      <c r="B22" s="30" t="s">
        <v>105</v>
      </c>
      <c r="C22" s="30"/>
      <c r="D22" s="25"/>
      <c r="E22" s="26"/>
      <c r="F22" s="41">
        <v>120</v>
      </c>
      <c r="G22" s="26"/>
      <c r="H22" s="26"/>
      <c r="I22" s="72"/>
      <c r="J22" s="30"/>
      <c r="K22" s="30"/>
    </row>
    <row r="23" spans="1:11" x14ac:dyDescent="0.25">
      <c r="A23" s="14">
        <v>17</v>
      </c>
      <c r="B23" s="30" t="s">
        <v>106</v>
      </c>
      <c r="C23" s="30"/>
      <c r="D23" s="28"/>
      <c r="E23" s="30"/>
      <c r="F23" s="39">
        <v>130</v>
      </c>
      <c r="G23" s="30"/>
      <c r="H23" s="30"/>
      <c r="I23" s="30">
        <v>1330</v>
      </c>
      <c r="J23" s="30"/>
      <c r="K23" s="30" t="s">
        <v>195</v>
      </c>
    </row>
    <row r="24" spans="1:11" x14ac:dyDescent="0.25">
      <c r="A24">
        <v>18</v>
      </c>
      <c r="B24" s="30" t="s">
        <v>145</v>
      </c>
      <c r="C24" s="30"/>
      <c r="D24" s="28"/>
      <c r="E24" s="30"/>
      <c r="F24" s="39">
        <f>500</f>
        <v>500</v>
      </c>
      <c r="G24" s="30"/>
      <c r="H24" s="30"/>
      <c r="I24" s="72"/>
      <c r="J24" s="30"/>
      <c r="K24" s="30"/>
    </row>
    <row r="25" spans="1:11" x14ac:dyDescent="0.25">
      <c r="A25" s="14">
        <v>19</v>
      </c>
      <c r="B25" s="30" t="s">
        <v>146</v>
      </c>
      <c r="C25" s="30"/>
      <c r="D25" s="28"/>
      <c r="E25" s="30"/>
      <c r="F25" s="39"/>
      <c r="G25" s="30"/>
      <c r="H25" s="30"/>
      <c r="I25" s="30">
        <v>1665</v>
      </c>
      <c r="J25" s="30"/>
      <c r="K25" s="30" t="s">
        <v>142</v>
      </c>
    </row>
    <row r="26" spans="1:11" x14ac:dyDescent="0.25">
      <c r="A26" s="14">
        <v>20</v>
      </c>
      <c r="B26" s="30" t="s">
        <v>144</v>
      </c>
      <c r="C26" s="30"/>
      <c r="D26" s="28"/>
      <c r="E26" s="30"/>
      <c r="F26" s="39"/>
      <c r="G26" s="30"/>
      <c r="H26" s="30"/>
      <c r="I26" s="30">
        <v>300</v>
      </c>
      <c r="J26" s="30"/>
      <c r="K26" s="30" t="s">
        <v>142</v>
      </c>
    </row>
    <row r="27" spans="1:11" x14ac:dyDescent="0.25">
      <c r="A27" s="14">
        <v>21</v>
      </c>
      <c r="B27" s="30" t="s">
        <v>143</v>
      </c>
      <c r="C27" s="30"/>
      <c r="D27" s="28"/>
      <c r="E27" s="30"/>
      <c r="F27" s="39"/>
      <c r="G27" s="30"/>
      <c r="H27" s="30"/>
      <c r="I27" s="30">
        <v>4104</v>
      </c>
      <c r="J27" s="30"/>
      <c r="K27" s="30" t="s">
        <v>142</v>
      </c>
    </row>
    <row r="28" spans="1:11" x14ac:dyDescent="0.25">
      <c r="A28" s="14">
        <v>22</v>
      </c>
      <c r="B28" s="30" t="s">
        <v>140</v>
      </c>
      <c r="C28" s="30"/>
      <c r="D28" s="28"/>
      <c r="E28" s="30"/>
      <c r="F28" s="39"/>
      <c r="G28" s="30"/>
      <c r="H28" s="30"/>
      <c r="I28" s="30">
        <v>1290</v>
      </c>
      <c r="J28" s="30"/>
      <c r="K28" s="30" t="s">
        <v>142</v>
      </c>
    </row>
    <row r="29" spans="1:11" x14ac:dyDescent="0.25">
      <c r="A29" s="14">
        <v>23</v>
      </c>
      <c r="B29" s="30" t="s">
        <v>150</v>
      </c>
      <c r="C29" s="30"/>
      <c r="D29" s="28"/>
      <c r="E29" s="30"/>
      <c r="F29" s="39"/>
      <c r="G29" s="30"/>
      <c r="H29" s="30"/>
      <c r="I29" s="30">
        <v>2000</v>
      </c>
      <c r="J29" s="30"/>
      <c r="K29" s="30" t="s">
        <v>142</v>
      </c>
    </row>
    <row r="30" spans="1:11" x14ac:dyDescent="0.25">
      <c r="A30" s="14">
        <v>24</v>
      </c>
      <c r="B30" s="30" t="s">
        <v>154</v>
      </c>
      <c r="C30" s="30"/>
      <c r="D30" s="28"/>
      <c r="E30" s="30"/>
      <c r="F30" s="39">
        <v>120</v>
      </c>
      <c r="G30" s="30"/>
      <c r="H30" s="30"/>
      <c r="I30" s="30">
        <v>3000</v>
      </c>
      <c r="J30" s="30"/>
      <c r="K30" s="30" t="s">
        <v>197</v>
      </c>
    </row>
    <row r="31" spans="1:11" ht="18" customHeight="1" x14ac:dyDescent="0.25">
      <c r="A31" s="14">
        <v>25</v>
      </c>
      <c r="B31" s="30" t="s">
        <v>155</v>
      </c>
      <c r="C31" s="30"/>
      <c r="D31" s="28"/>
      <c r="E31" s="30"/>
      <c r="F31" s="39"/>
      <c r="G31" s="30"/>
      <c r="H31" s="30"/>
      <c r="I31" s="30">
        <v>4000</v>
      </c>
      <c r="J31" s="30"/>
      <c r="K31" s="30" t="s">
        <v>142</v>
      </c>
    </row>
    <row r="32" spans="1:11" ht="18" customHeight="1" x14ac:dyDescent="0.25">
      <c r="A32" s="14">
        <v>26</v>
      </c>
      <c r="B32" s="30" t="s">
        <v>163</v>
      </c>
      <c r="C32" s="14"/>
      <c r="D32" s="14"/>
      <c r="E32" s="14"/>
      <c r="F32" s="14"/>
      <c r="G32" s="14"/>
      <c r="H32" s="14"/>
      <c r="I32" s="30">
        <v>1500</v>
      </c>
      <c r="J32" s="30"/>
      <c r="K32" s="30"/>
    </row>
    <row r="33" spans="2:10" ht="15.75" customHeight="1" x14ac:dyDescent="0.25">
      <c r="I33" s="23">
        <f>SUM(I6:I32)</f>
        <v>86914</v>
      </c>
      <c r="J33" s="38" t="s">
        <v>190</v>
      </c>
    </row>
    <row r="34" spans="2:10" ht="20.25" customHeight="1" x14ac:dyDescent="0.25"/>
    <row r="46" spans="2:10" x14ac:dyDescent="0.25">
      <c r="B46" s="2">
        <v>46203</v>
      </c>
      <c r="C46" t="s">
        <v>166</v>
      </c>
      <c r="D46" t="s">
        <v>196</v>
      </c>
    </row>
  </sheetData>
  <mergeCells count="3">
    <mergeCell ref="A1:I1"/>
    <mergeCell ref="U5:V5"/>
    <mergeCell ref="C2:G3"/>
  </mergeCells>
  <dataValidations count="1">
    <dataValidation type="list" allowBlank="1" errorTitle="خطأ" error="يرجى اختيار موظف من القائمة" sqref="B6:B23" xr:uid="{00000000-0002-0000-0600-000000000000}">
      <formula1>INDIRECT("الموظفين!$B$4:$B$23")</formula1>
    </dataValidation>
  </dataValidations>
  <pageMargins left="0.75" right="0.75" top="1" bottom="1" header="0.5" footer="0.5"/>
  <pageSetup scale="6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I52"/>
  <sheetViews>
    <sheetView tabSelected="1" workbookViewId="0">
      <selection activeCell="I18" sqref="I18"/>
    </sheetView>
  </sheetViews>
  <sheetFormatPr defaultRowHeight="15" x14ac:dyDescent="0.25"/>
  <cols>
    <col min="1" max="1" width="11.28515625" bestFit="1" customWidth="1"/>
    <col min="2" max="2" width="22.5703125" bestFit="1" customWidth="1"/>
    <col min="3" max="3" width="8.5703125" customWidth="1"/>
    <col min="4" max="4" width="24.28515625" bestFit="1" customWidth="1"/>
    <col min="9" max="9" width="13.85546875" bestFit="1" customWidth="1"/>
  </cols>
  <sheetData>
    <row r="1" spans="1:9" ht="24" x14ac:dyDescent="0.25">
      <c r="A1" s="65" t="s">
        <v>37</v>
      </c>
      <c r="B1" s="64"/>
      <c r="C1" s="64"/>
      <c r="D1" s="64"/>
    </row>
    <row r="3" spans="1:9" ht="18.75" x14ac:dyDescent="0.25">
      <c r="A3" s="6" t="s">
        <v>1</v>
      </c>
      <c r="B3" s="6" t="s">
        <v>13</v>
      </c>
      <c r="C3" s="6" t="s">
        <v>26</v>
      </c>
      <c r="D3" s="6" t="s">
        <v>9</v>
      </c>
      <c r="H3" s="26">
        <f>SUM(C4:C462)</f>
        <v>2085</v>
      </c>
      <c r="I3" s="23" t="s">
        <v>122</v>
      </c>
    </row>
    <row r="4" spans="1:9" x14ac:dyDescent="0.25">
      <c r="A4" s="14" t="s">
        <v>91</v>
      </c>
      <c r="B4" s="20" t="s">
        <v>78</v>
      </c>
      <c r="C4" s="28">
        <v>100</v>
      </c>
      <c r="D4" s="39"/>
    </row>
    <row r="5" spans="1:9" x14ac:dyDescent="0.25">
      <c r="A5" s="14" t="s">
        <v>91</v>
      </c>
      <c r="B5" s="20" t="s">
        <v>81</v>
      </c>
      <c r="C5" s="28">
        <v>25</v>
      </c>
      <c r="D5" s="39"/>
    </row>
    <row r="6" spans="1:9" x14ac:dyDescent="0.25">
      <c r="A6" s="14" t="s">
        <v>103</v>
      </c>
      <c r="B6" s="20" t="s">
        <v>88</v>
      </c>
      <c r="C6" s="28">
        <v>100</v>
      </c>
      <c r="D6" s="39"/>
    </row>
    <row r="7" spans="1:9" x14ac:dyDescent="0.25">
      <c r="A7" s="14" t="s">
        <v>103</v>
      </c>
      <c r="B7" s="20" t="s">
        <v>81</v>
      </c>
      <c r="C7" s="28">
        <v>70</v>
      </c>
      <c r="D7" s="39"/>
    </row>
    <row r="8" spans="1:9" x14ac:dyDescent="0.25">
      <c r="A8" s="14" t="s">
        <v>103</v>
      </c>
      <c r="B8" s="20" t="s">
        <v>104</v>
      </c>
      <c r="C8" s="28">
        <v>20</v>
      </c>
      <c r="D8" s="39"/>
    </row>
    <row r="9" spans="1:9" x14ac:dyDescent="0.25">
      <c r="A9" s="60" t="s">
        <v>103</v>
      </c>
      <c r="B9" s="60" t="s">
        <v>193</v>
      </c>
      <c r="C9" s="62">
        <v>20</v>
      </c>
      <c r="D9" s="61"/>
    </row>
    <row r="10" spans="1:9" x14ac:dyDescent="0.25">
      <c r="A10" s="14" t="s">
        <v>103</v>
      </c>
      <c r="B10" s="20" t="s">
        <v>105</v>
      </c>
      <c r="C10" s="28">
        <v>20</v>
      </c>
      <c r="D10" s="39"/>
    </row>
    <row r="11" spans="1:9" x14ac:dyDescent="0.25">
      <c r="A11" s="14" t="s">
        <v>103</v>
      </c>
      <c r="B11" s="20" t="s">
        <v>80</v>
      </c>
      <c r="C11" s="28">
        <v>20</v>
      </c>
      <c r="D11" s="39"/>
    </row>
    <row r="12" spans="1:9" x14ac:dyDescent="0.25">
      <c r="A12" s="14" t="s">
        <v>103</v>
      </c>
      <c r="B12" s="20" t="s">
        <v>106</v>
      </c>
      <c r="C12" s="28">
        <v>30</v>
      </c>
      <c r="D12" s="39"/>
    </row>
    <row r="13" spans="1:9" x14ac:dyDescent="0.25">
      <c r="A13" s="60" t="s">
        <v>103</v>
      </c>
      <c r="B13" s="60" t="s">
        <v>193</v>
      </c>
      <c r="C13" s="62">
        <v>45</v>
      </c>
      <c r="D13" s="61"/>
    </row>
    <row r="14" spans="1:9" x14ac:dyDescent="0.25">
      <c r="A14" s="14" t="s">
        <v>103</v>
      </c>
      <c r="B14" s="20" t="s">
        <v>81</v>
      </c>
      <c r="C14" s="28">
        <v>20</v>
      </c>
      <c r="D14" s="39"/>
      <c r="G14" s="42"/>
    </row>
    <row r="15" spans="1:9" x14ac:dyDescent="0.25">
      <c r="A15" s="14" t="s">
        <v>103</v>
      </c>
      <c r="B15" s="20" t="s">
        <v>82</v>
      </c>
      <c r="C15" s="28">
        <v>20</v>
      </c>
      <c r="D15" s="39"/>
    </row>
    <row r="16" spans="1:9" x14ac:dyDescent="0.25">
      <c r="A16" s="14" t="s">
        <v>103</v>
      </c>
      <c r="B16" s="20" t="s">
        <v>83</v>
      </c>
      <c r="C16" s="28">
        <v>30</v>
      </c>
      <c r="D16" s="39"/>
    </row>
    <row r="17" spans="1:4" x14ac:dyDescent="0.25">
      <c r="A17" s="14" t="s">
        <v>117</v>
      </c>
      <c r="B17" s="20" t="s">
        <v>88</v>
      </c>
      <c r="C17" s="28">
        <v>200</v>
      </c>
      <c r="D17" s="39"/>
    </row>
    <row r="18" spans="1:4" x14ac:dyDescent="0.25">
      <c r="A18" s="14" t="s">
        <v>117</v>
      </c>
      <c r="B18" s="20" t="s">
        <v>80</v>
      </c>
      <c r="C18" s="28">
        <v>250</v>
      </c>
      <c r="D18" s="39"/>
    </row>
    <row r="19" spans="1:4" x14ac:dyDescent="0.25">
      <c r="A19" s="14" t="s">
        <v>117</v>
      </c>
      <c r="B19" s="20" t="s">
        <v>105</v>
      </c>
      <c r="C19" s="28">
        <v>100</v>
      </c>
      <c r="D19" s="39"/>
    </row>
    <row r="20" spans="1:4" x14ac:dyDescent="0.25">
      <c r="A20" s="14" t="s">
        <v>117</v>
      </c>
      <c r="B20" s="20" t="s">
        <v>81</v>
      </c>
      <c r="C20" s="28">
        <v>15</v>
      </c>
      <c r="D20" s="39"/>
    </row>
    <row r="21" spans="1:4" x14ac:dyDescent="0.25">
      <c r="A21" s="16" t="s">
        <v>117</v>
      </c>
      <c r="B21" s="20" t="s">
        <v>104</v>
      </c>
      <c r="C21" s="25">
        <v>100</v>
      </c>
      <c r="D21" s="39" t="s">
        <v>134</v>
      </c>
    </row>
    <row r="22" spans="1:4" x14ac:dyDescent="0.25">
      <c r="A22" s="16" t="s">
        <v>117</v>
      </c>
      <c r="B22" s="20" t="s">
        <v>80</v>
      </c>
      <c r="C22" s="25">
        <v>100</v>
      </c>
      <c r="D22" s="39" t="s">
        <v>134</v>
      </c>
    </row>
    <row r="23" spans="1:4" x14ac:dyDescent="0.25">
      <c r="A23" s="16">
        <v>46203</v>
      </c>
      <c r="B23" s="20"/>
      <c r="C23" s="25"/>
      <c r="D23" s="39"/>
    </row>
    <row r="24" spans="1:4" x14ac:dyDescent="0.25">
      <c r="A24" s="16">
        <v>46203</v>
      </c>
      <c r="B24" s="20" t="s">
        <v>86</v>
      </c>
      <c r="C24" s="25">
        <v>200</v>
      </c>
      <c r="D24" s="39"/>
    </row>
    <row r="25" spans="1:4" x14ac:dyDescent="0.25">
      <c r="A25" s="16">
        <v>46203</v>
      </c>
      <c r="B25" s="20" t="s">
        <v>104</v>
      </c>
      <c r="C25" s="25">
        <v>50</v>
      </c>
      <c r="D25" s="39"/>
    </row>
    <row r="26" spans="1:4" x14ac:dyDescent="0.25">
      <c r="A26" s="16">
        <v>46203</v>
      </c>
      <c r="B26" s="20" t="s">
        <v>81</v>
      </c>
      <c r="C26" s="25">
        <v>25</v>
      </c>
      <c r="D26" s="39"/>
    </row>
    <row r="27" spans="1:4" x14ac:dyDescent="0.25">
      <c r="A27" s="16">
        <v>46203</v>
      </c>
      <c r="B27" s="20" t="s">
        <v>80</v>
      </c>
      <c r="C27" s="25">
        <v>110</v>
      </c>
      <c r="D27" s="39"/>
    </row>
    <row r="28" spans="1:4" x14ac:dyDescent="0.25">
      <c r="A28" s="47">
        <v>46203</v>
      </c>
      <c r="B28" s="30" t="s">
        <v>194</v>
      </c>
      <c r="C28" s="30">
        <v>115</v>
      </c>
      <c r="D28" s="30"/>
    </row>
    <row r="29" spans="1:4" x14ac:dyDescent="0.25">
      <c r="A29" s="16">
        <v>46203</v>
      </c>
      <c r="B29" s="20" t="s">
        <v>82</v>
      </c>
      <c r="C29" s="25">
        <v>100</v>
      </c>
      <c r="D29" s="39"/>
    </row>
    <row r="30" spans="1:4" x14ac:dyDescent="0.25">
      <c r="A30" s="16">
        <v>46203</v>
      </c>
      <c r="B30" s="20" t="s">
        <v>78</v>
      </c>
      <c r="C30" s="25">
        <v>100</v>
      </c>
      <c r="D30" s="39"/>
    </row>
    <row r="31" spans="1:4" x14ac:dyDescent="0.25">
      <c r="A31" s="16">
        <v>46203</v>
      </c>
      <c r="B31" s="20" t="s">
        <v>106</v>
      </c>
      <c r="C31" s="25">
        <v>100</v>
      </c>
      <c r="D31" s="39" t="s">
        <v>135</v>
      </c>
    </row>
    <row r="32" spans="1:4" x14ac:dyDescent="0.25">
      <c r="A32" s="2"/>
      <c r="C32" s="31"/>
    </row>
    <row r="33" spans="1:3" x14ac:dyDescent="0.25">
      <c r="A33" s="2"/>
      <c r="C33" s="31"/>
    </row>
    <row r="34" spans="1:3" x14ac:dyDescent="0.25">
      <c r="A34" s="2"/>
      <c r="C34" s="31"/>
    </row>
    <row r="35" spans="1:3" x14ac:dyDescent="0.25">
      <c r="A35" s="2"/>
      <c r="C35" s="31"/>
    </row>
    <row r="36" spans="1:3" x14ac:dyDescent="0.25">
      <c r="A36" s="2"/>
      <c r="C36" s="31"/>
    </row>
    <row r="37" spans="1:3" x14ac:dyDescent="0.25">
      <c r="A37" s="2"/>
      <c r="C37" s="31"/>
    </row>
    <row r="38" spans="1:3" x14ac:dyDescent="0.25">
      <c r="A38" s="2"/>
      <c r="C38" s="31"/>
    </row>
    <row r="39" spans="1:3" x14ac:dyDescent="0.25">
      <c r="A39" s="2"/>
      <c r="C39" s="31"/>
    </row>
    <row r="40" spans="1:3" x14ac:dyDescent="0.25">
      <c r="A40" s="2"/>
      <c r="C40" s="31"/>
    </row>
    <row r="41" spans="1:3" x14ac:dyDescent="0.25">
      <c r="A41" s="2"/>
      <c r="C41" s="31"/>
    </row>
    <row r="42" spans="1:3" x14ac:dyDescent="0.25">
      <c r="A42" s="2"/>
      <c r="C42" s="31"/>
    </row>
    <row r="43" spans="1:3" x14ac:dyDescent="0.25">
      <c r="A43" s="2"/>
      <c r="C43" s="31"/>
    </row>
    <row r="44" spans="1:3" x14ac:dyDescent="0.25">
      <c r="A44" s="2"/>
      <c r="C44" s="31"/>
    </row>
    <row r="45" spans="1:3" x14ac:dyDescent="0.25">
      <c r="A45" s="2"/>
      <c r="C45" s="31"/>
    </row>
    <row r="46" spans="1:3" x14ac:dyDescent="0.25">
      <c r="A46" s="2"/>
      <c r="C46" s="31"/>
    </row>
    <row r="47" spans="1:3" x14ac:dyDescent="0.25">
      <c r="A47" s="2"/>
      <c r="C47" s="31"/>
    </row>
    <row r="48" spans="1:3" x14ac:dyDescent="0.25">
      <c r="A48" s="2"/>
      <c r="C48" s="31"/>
    </row>
    <row r="49" spans="1:3" x14ac:dyDescent="0.25">
      <c r="A49" s="2"/>
      <c r="C49" s="31"/>
    </row>
    <row r="50" spans="1:3" x14ac:dyDescent="0.25">
      <c r="A50" s="2"/>
      <c r="C50" s="31"/>
    </row>
    <row r="51" spans="1:3" x14ac:dyDescent="0.25">
      <c r="A51" s="2"/>
      <c r="C51" s="31"/>
    </row>
    <row r="52" spans="1:3" x14ac:dyDescent="0.25">
      <c r="A52" s="2"/>
      <c r="C52" s="1"/>
    </row>
  </sheetData>
  <mergeCells count="1">
    <mergeCell ref="A1:D1"/>
  </mergeCells>
  <dataValidations count="1">
    <dataValidation type="list" allowBlank="1" error="يرجى اختيار موظف من القائمة" sqref="B4:B52" xr:uid="{00000000-0002-0000-0700-000000000000}">
      <formula1>INDIRECT("الموظفين!$B$4:$B$23")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</sheetPr>
  <dimension ref="A1:H20"/>
  <sheetViews>
    <sheetView workbookViewId="0">
      <selection activeCell="I35" sqref="I35"/>
    </sheetView>
  </sheetViews>
  <sheetFormatPr defaultRowHeight="15" x14ac:dyDescent="0.25"/>
  <cols>
    <col min="1" max="1" width="6" customWidth="1"/>
    <col min="2" max="2" width="20" customWidth="1"/>
    <col min="3" max="3" width="14" customWidth="1"/>
    <col min="4" max="4" width="16" customWidth="1"/>
    <col min="5" max="6" width="12" customWidth="1"/>
    <col min="7" max="7" width="14" customWidth="1"/>
    <col min="8" max="8" width="16" customWidth="1"/>
  </cols>
  <sheetData>
    <row r="1" spans="1:8" ht="24" x14ac:dyDescent="0.25">
      <c r="A1" s="65" t="s">
        <v>38</v>
      </c>
      <c r="B1" s="64"/>
      <c r="C1" s="64"/>
      <c r="D1" s="64"/>
      <c r="E1" s="64"/>
      <c r="F1" s="64"/>
      <c r="G1" s="64"/>
      <c r="H1" s="64"/>
    </row>
    <row r="2" spans="1:8" x14ac:dyDescent="0.25">
      <c r="A2" t="s">
        <v>39</v>
      </c>
    </row>
    <row r="4" spans="1:8" x14ac:dyDescent="0.25">
      <c r="A4" s="6" t="s">
        <v>12</v>
      </c>
      <c r="B4" s="6" t="s">
        <v>3</v>
      </c>
      <c r="C4" s="6" t="s">
        <v>6</v>
      </c>
      <c r="D4" s="6" t="s">
        <v>40</v>
      </c>
      <c r="E4" s="6" t="s">
        <v>41</v>
      </c>
      <c r="F4" s="6" t="s">
        <v>42</v>
      </c>
      <c r="G4" s="6" t="s">
        <v>43</v>
      </c>
      <c r="H4" s="6" t="s">
        <v>44</v>
      </c>
    </row>
    <row r="5" spans="1:8" x14ac:dyDescent="0.25">
      <c r="A5">
        <v>1</v>
      </c>
      <c r="B5" t="s">
        <v>45</v>
      </c>
      <c r="C5" s="1"/>
      <c r="D5" s="1"/>
      <c r="E5" s="1"/>
      <c r="F5" s="1"/>
      <c r="G5" s="1">
        <f t="shared" ref="G5:G19" si="0">IF(D5=0,0,D5+E5-F5)</f>
        <v>0</v>
      </c>
      <c r="H5" s="1">
        <f t="shared" ref="H5:H19" si="1">IF(G5=0,0,G5*C5)</f>
        <v>0</v>
      </c>
    </row>
    <row r="6" spans="1:8" x14ac:dyDescent="0.25">
      <c r="A6">
        <v>2</v>
      </c>
      <c r="B6" t="s">
        <v>46</v>
      </c>
      <c r="C6" s="1"/>
      <c r="D6" s="1"/>
      <c r="E6" s="1"/>
      <c r="F6" s="1"/>
      <c r="G6" s="1">
        <f t="shared" si="0"/>
        <v>0</v>
      </c>
      <c r="H6" s="1">
        <f t="shared" si="1"/>
        <v>0</v>
      </c>
    </row>
    <row r="7" spans="1:8" x14ac:dyDescent="0.25">
      <c r="A7">
        <v>3</v>
      </c>
      <c r="B7" t="s">
        <v>47</v>
      </c>
      <c r="C7" s="1"/>
      <c r="D7" s="1"/>
      <c r="E7" s="1"/>
      <c r="F7" s="1"/>
      <c r="G7" s="1">
        <f t="shared" si="0"/>
        <v>0</v>
      </c>
      <c r="H7" s="1">
        <f t="shared" si="1"/>
        <v>0</v>
      </c>
    </row>
    <row r="8" spans="1:8" x14ac:dyDescent="0.25">
      <c r="A8">
        <v>4</v>
      </c>
      <c r="B8" t="s">
        <v>48</v>
      </c>
      <c r="C8" s="1"/>
      <c r="D8" s="1"/>
      <c r="E8" s="1"/>
      <c r="F8" s="1"/>
      <c r="G8" s="1">
        <f t="shared" si="0"/>
        <v>0</v>
      </c>
      <c r="H8" s="1">
        <f t="shared" si="1"/>
        <v>0</v>
      </c>
    </row>
    <row r="9" spans="1:8" x14ac:dyDescent="0.25">
      <c r="A9">
        <v>5</v>
      </c>
      <c r="B9" t="s">
        <v>49</v>
      </c>
      <c r="C9" s="1"/>
      <c r="D9" s="1"/>
      <c r="E9" s="1"/>
      <c r="F9" s="1"/>
      <c r="G9" s="1">
        <f t="shared" si="0"/>
        <v>0</v>
      </c>
      <c r="H9" s="1">
        <f t="shared" si="1"/>
        <v>0</v>
      </c>
    </row>
    <row r="10" spans="1:8" x14ac:dyDescent="0.25">
      <c r="A10">
        <v>6</v>
      </c>
      <c r="B10" t="s">
        <v>27</v>
      </c>
      <c r="C10" s="1"/>
      <c r="D10" s="1"/>
      <c r="E10" s="1"/>
      <c r="F10" s="1"/>
      <c r="G10" s="1">
        <f t="shared" si="0"/>
        <v>0</v>
      </c>
      <c r="H10" s="1">
        <f t="shared" si="1"/>
        <v>0</v>
      </c>
    </row>
    <row r="11" spans="1:8" x14ac:dyDescent="0.25">
      <c r="A11">
        <v>7</v>
      </c>
      <c r="B11" t="s">
        <v>50</v>
      </c>
      <c r="C11" s="1"/>
      <c r="D11" s="1"/>
      <c r="E11" s="1"/>
      <c r="F11" s="1"/>
      <c r="G11" s="1">
        <f t="shared" si="0"/>
        <v>0</v>
      </c>
      <c r="H11" s="1">
        <f t="shared" si="1"/>
        <v>0</v>
      </c>
    </row>
    <row r="12" spans="1:8" x14ac:dyDescent="0.25">
      <c r="A12">
        <v>8</v>
      </c>
      <c r="B12" t="s">
        <v>51</v>
      </c>
      <c r="C12" s="1"/>
      <c r="D12" s="1"/>
      <c r="E12" s="1"/>
      <c r="F12" s="1"/>
      <c r="G12" s="1">
        <f t="shared" si="0"/>
        <v>0</v>
      </c>
      <c r="H12" s="1">
        <f t="shared" si="1"/>
        <v>0</v>
      </c>
    </row>
    <row r="13" spans="1:8" x14ac:dyDescent="0.25">
      <c r="A13">
        <v>9</v>
      </c>
      <c r="B13" t="s">
        <v>52</v>
      </c>
      <c r="C13" s="1"/>
      <c r="D13" s="1"/>
      <c r="E13" s="1"/>
      <c r="F13" s="1"/>
      <c r="G13" s="1">
        <f t="shared" si="0"/>
        <v>0</v>
      </c>
      <c r="H13" s="1">
        <f t="shared" si="1"/>
        <v>0</v>
      </c>
    </row>
    <row r="14" spans="1:8" x14ac:dyDescent="0.25">
      <c r="A14">
        <v>10</v>
      </c>
      <c r="B14" t="s">
        <v>53</v>
      </c>
      <c r="C14" s="1"/>
      <c r="D14" s="1"/>
      <c r="E14" s="1"/>
      <c r="F14" s="1"/>
      <c r="G14" s="1">
        <f t="shared" si="0"/>
        <v>0</v>
      </c>
      <c r="H14" s="1">
        <f t="shared" si="1"/>
        <v>0</v>
      </c>
    </row>
    <row r="15" spans="1:8" x14ac:dyDescent="0.25">
      <c r="A15">
        <v>11</v>
      </c>
      <c r="B15" t="s">
        <v>54</v>
      </c>
      <c r="C15" s="1"/>
      <c r="D15" s="1"/>
      <c r="E15" s="1"/>
      <c r="F15" s="1"/>
      <c r="G15" s="1">
        <f t="shared" si="0"/>
        <v>0</v>
      </c>
      <c r="H15" s="1">
        <f t="shared" si="1"/>
        <v>0</v>
      </c>
    </row>
    <row r="16" spans="1:8" x14ac:dyDescent="0.25">
      <c r="A16">
        <v>12</v>
      </c>
      <c r="B16" t="s">
        <v>55</v>
      </c>
      <c r="C16" s="1"/>
      <c r="D16" s="1"/>
      <c r="E16" s="1"/>
      <c r="F16" s="1"/>
      <c r="G16" s="1">
        <f t="shared" si="0"/>
        <v>0</v>
      </c>
      <c r="H16" s="1">
        <f t="shared" si="1"/>
        <v>0</v>
      </c>
    </row>
    <row r="17" spans="1:8" x14ac:dyDescent="0.25">
      <c r="A17">
        <v>13</v>
      </c>
      <c r="B17" t="s">
        <v>56</v>
      </c>
      <c r="C17" s="1"/>
      <c r="D17" s="1"/>
      <c r="E17" s="1"/>
      <c r="F17" s="1"/>
      <c r="G17" s="1">
        <f t="shared" si="0"/>
        <v>0</v>
      </c>
      <c r="H17" s="1">
        <f t="shared" si="1"/>
        <v>0</v>
      </c>
    </row>
    <row r="18" spans="1:8" x14ac:dyDescent="0.25">
      <c r="A18">
        <v>14</v>
      </c>
      <c r="B18" t="s">
        <v>57</v>
      </c>
      <c r="C18" s="1"/>
      <c r="D18" s="1"/>
      <c r="E18" s="1"/>
      <c r="F18" s="1"/>
      <c r="G18" s="1">
        <f t="shared" si="0"/>
        <v>0</v>
      </c>
      <c r="H18" s="1">
        <f t="shared" si="1"/>
        <v>0</v>
      </c>
    </row>
    <row r="19" spans="1:8" x14ac:dyDescent="0.25">
      <c r="A19">
        <v>15</v>
      </c>
      <c r="B19" t="s">
        <v>58</v>
      </c>
      <c r="C19" s="1"/>
      <c r="D19" s="1"/>
      <c r="E19" s="1"/>
      <c r="F19" s="1"/>
      <c r="G19" s="1">
        <f t="shared" si="0"/>
        <v>0</v>
      </c>
      <c r="H19" s="1">
        <f t="shared" si="1"/>
        <v>0</v>
      </c>
    </row>
    <row r="20" spans="1:8" x14ac:dyDescent="0.25">
      <c r="A20" s="11" t="s">
        <v>7</v>
      </c>
      <c r="B20" s="12"/>
      <c r="C20" s="12"/>
      <c r="D20" s="13">
        <f>SUM(D5:D19)</f>
        <v>0</v>
      </c>
      <c r="E20" s="13">
        <f>SUM(E5:E19)</f>
        <v>0</v>
      </c>
      <c r="F20" s="13">
        <f>SUM(F5:F19)</f>
        <v>0</v>
      </c>
      <c r="G20" s="13">
        <f>SUM(G5:G19)</f>
        <v>0</v>
      </c>
      <c r="H20" s="13">
        <f>SUM(H5:H19)</f>
        <v>0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2B48C"/>
  </sheetPr>
  <dimension ref="A1:G53"/>
  <sheetViews>
    <sheetView workbookViewId="0">
      <selection activeCell="L20" sqref="L20"/>
    </sheetView>
  </sheetViews>
  <sheetFormatPr defaultRowHeight="15" x14ac:dyDescent="0.25"/>
  <cols>
    <col min="1" max="1" width="14" customWidth="1"/>
    <col min="2" max="2" width="20" customWidth="1"/>
    <col min="3" max="4" width="16" customWidth="1"/>
    <col min="5" max="6" width="14" customWidth="1"/>
    <col min="7" max="7" width="20" customWidth="1"/>
  </cols>
  <sheetData>
    <row r="1" spans="1:7" ht="24" x14ac:dyDescent="0.25">
      <c r="A1" s="65" t="s">
        <v>59</v>
      </c>
      <c r="B1" s="64"/>
      <c r="C1" s="64"/>
      <c r="D1" s="64"/>
      <c r="E1" s="64"/>
      <c r="F1" s="64"/>
      <c r="G1" s="64"/>
    </row>
    <row r="3" spans="1:7" x14ac:dyDescent="0.25">
      <c r="A3" s="6" t="s">
        <v>1</v>
      </c>
      <c r="B3" s="6" t="s">
        <v>60</v>
      </c>
      <c r="C3" s="6" t="s">
        <v>61</v>
      </c>
      <c r="D3" s="6" t="s">
        <v>62</v>
      </c>
      <c r="E3" s="6" t="s">
        <v>63</v>
      </c>
      <c r="F3" s="6" t="s">
        <v>64</v>
      </c>
      <c r="G3" s="6" t="s">
        <v>9</v>
      </c>
    </row>
    <row r="4" spans="1:7" x14ac:dyDescent="0.25">
      <c r="A4" s="2"/>
      <c r="C4" s="1"/>
      <c r="D4" s="1"/>
      <c r="E4" s="1">
        <f>IF(C4*D4=0,0,C4-D4)</f>
        <v>0</v>
      </c>
      <c r="F4" t="str">
        <f t="shared" ref="F4:F35" si="0">IF(C4=0,"",IF(E4=0,"مطابق","فيه فرق"))</f>
        <v/>
      </c>
    </row>
    <row r="5" spans="1:7" x14ac:dyDescent="0.25">
      <c r="A5" s="2"/>
      <c r="C5" s="1"/>
      <c r="D5" s="1"/>
      <c r="E5" s="1">
        <f t="shared" ref="E5:E35" si="1">IF(C5*D5=0,0,C5-D5)</f>
        <v>0</v>
      </c>
      <c r="F5" t="str">
        <f t="shared" si="0"/>
        <v/>
      </c>
    </row>
    <row r="6" spans="1:7" x14ac:dyDescent="0.25">
      <c r="A6" s="2"/>
      <c r="C6" s="1"/>
      <c r="D6" s="1"/>
      <c r="E6" s="1">
        <f t="shared" si="1"/>
        <v>0</v>
      </c>
      <c r="F6" t="str">
        <f t="shared" si="0"/>
        <v/>
      </c>
    </row>
    <row r="7" spans="1:7" x14ac:dyDescent="0.25">
      <c r="A7" s="2"/>
      <c r="C7" s="1"/>
      <c r="D7" s="1"/>
      <c r="E7" s="1">
        <f t="shared" si="1"/>
        <v>0</v>
      </c>
      <c r="F7" t="str">
        <f t="shared" si="0"/>
        <v/>
      </c>
    </row>
    <row r="8" spans="1:7" x14ac:dyDescent="0.25">
      <c r="A8" s="2"/>
      <c r="C8" s="1"/>
      <c r="D8" s="1"/>
      <c r="E8" s="1">
        <f t="shared" si="1"/>
        <v>0</v>
      </c>
      <c r="F8" t="str">
        <f t="shared" si="0"/>
        <v/>
      </c>
    </row>
    <row r="9" spans="1:7" x14ac:dyDescent="0.25">
      <c r="A9" s="2"/>
      <c r="C9" s="1"/>
      <c r="D9" s="1"/>
      <c r="E9" s="1">
        <f t="shared" si="1"/>
        <v>0</v>
      </c>
      <c r="F9" t="str">
        <f t="shared" si="0"/>
        <v/>
      </c>
    </row>
    <row r="10" spans="1:7" x14ac:dyDescent="0.25">
      <c r="A10" s="2"/>
      <c r="C10" s="1"/>
      <c r="D10" s="1"/>
      <c r="E10" s="1">
        <f t="shared" si="1"/>
        <v>0</v>
      </c>
      <c r="F10" t="str">
        <f t="shared" si="0"/>
        <v/>
      </c>
    </row>
    <row r="11" spans="1:7" x14ac:dyDescent="0.25">
      <c r="A11" s="2"/>
      <c r="C11" s="1"/>
      <c r="D11" s="1"/>
      <c r="E11" s="1">
        <f t="shared" si="1"/>
        <v>0</v>
      </c>
      <c r="F11" t="str">
        <f t="shared" si="0"/>
        <v/>
      </c>
    </row>
    <row r="12" spans="1:7" x14ac:dyDescent="0.25">
      <c r="A12" s="2"/>
      <c r="C12" s="1"/>
      <c r="D12" s="1"/>
      <c r="E12" s="1">
        <f t="shared" si="1"/>
        <v>0</v>
      </c>
      <c r="F12" t="str">
        <f t="shared" si="0"/>
        <v/>
      </c>
    </row>
    <row r="13" spans="1:7" x14ac:dyDescent="0.25">
      <c r="A13" s="2"/>
      <c r="C13" s="1"/>
      <c r="D13" s="1"/>
      <c r="E13" s="1">
        <f t="shared" si="1"/>
        <v>0</v>
      </c>
      <c r="F13" t="str">
        <f t="shared" si="0"/>
        <v/>
      </c>
    </row>
    <row r="14" spans="1:7" x14ac:dyDescent="0.25">
      <c r="A14" s="2"/>
      <c r="C14" s="1"/>
      <c r="D14" s="1"/>
      <c r="E14" s="1">
        <f t="shared" si="1"/>
        <v>0</v>
      </c>
      <c r="F14" t="str">
        <f t="shared" si="0"/>
        <v/>
      </c>
    </row>
    <row r="15" spans="1:7" x14ac:dyDescent="0.25">
      <c r="A15" s="2"/>
      <c r="C15" s="1"/>
      <c r="D15" s="1"/>
      <c r="E15" s="1">
        <f t="shared" si="1"/>
        <v>0</v>
      </c>
      <c r="F15" t="str">
        <f t="shared" si="0"/>
        <v/>
      </c>
    </row>
    <row r="16" spans="1:7" x14ac:dyDescent="0.25">
      <c r="A16" s="2"/>
      <c r="C16" s="1"/>
      <c r="D16" s="1"/>
      <c r="E16" s="1">
        <f t="shared" si="1"/>
        <v>0</v>
      </c>
      <c r="F16" t="str">
        <f t="shared" si="0"/>
        <v/>
      </c>
    </row>
    <row r="17" spans="1:6" x14ac:dyDescent="0.25">
      <c r="A17" s="2"/>
      <c r="C17" s="1"/>
      <c r="D17" s="1"/>
      <c r="E17" s="1">
        <f t="shared" si="1"/>
        <v>0</v>
      </c>
      <c r="F17" t="str">
        <f t="shared" si="0"/>
        <v/>
      </c>
    </row>
    <row r="18" spans="1:6" x14ac:dyDescent="0.25">
      <c r="A18" s="2"/>
      <c r="C18" s="1"/>
      <c r="D18" s="1"/>
      <c r="E18" s="1">
        <f t="shared" si="1"/>
        <v>0</v>
      </c>
      <c r="F18" t="str">
        <f t="shared" si="0"/>
        <v/>
      </c>
    </row>
    <row r="19" spans="1:6" x14ac:dyDescent="0.25">
      <c r="A19" s="2"/>
      <c r="C19" s="1"/>
      <c r="D19" s="1"/>
      <c r="E19" s="1">
        <f t="shared" si="1"/>
        <v>0</v>
      </c>
      <c r="F19" t="str">
        <f t="shared" si="0"/>
        <v/>
      </c>
    </row>
    <row r="20" spans="1:6" x14ac:dyDescent="0.25">
      <c r="A20" s="2"/>
      <c r="C20" s="1"/>
      <c r="D20" s="1"/>
      <c r="E20" s="1">
        <f t="shared" si="1"/>
        <v>0</v>
      </c>
      <c r="F20" t="str">
        <f t="shared" si="0"/>
        <v/>
      </c>
    </row>
    <row r="21" spans="1:6" x14ac:dyDescent="0.25">
      <c r="A21" s="2"/>
      <c r="C21" s="1"/>
      <c r="D21" s="1"/>
      <c r="E21" s="1">
        <f t="shared" si="1"/>
        <v>0</v>
      </c>
      <c r="F21" t="str">
        <f t="shared" si="0"/>
        <v/>
      </c>
    </row>
    <row r="22" spans="1:6" x14ac:dyDescent="0.25">
      <c r="A22" s="2"/>
      <c r="C22" s="1"/>
      <c r="D22" s="1"/>
      <c r="E22" s="1">
        <f t="shared" si="1"/>
        <v>0</v>
      </c>
      <c r="F22" t="str">
        <f t="shared" si="0"/>
        <v/>
      </c>
    </row>
    <row r="23" spans="1:6" x14ac:dyDescent="0.25">
      <c r="A23" s="2"/>
      <c r="C23" s="1"/>
      <c r="D23" s="1"/>
      <c r="E23" s="1">
        <f t="shared" si="1"/>
        <v>0</v>
      </c>
      <c r="F23" t="str">
        <f t="shared" si="0"/>
        <v/>
      </c>
    </row>
    <row r="24" spans="1:6" x14ac:dyDescent="0.25">
      <c r="A24" s="2"/>
      <c r="C24" s="1"/>
      <c r="D24" s="1"/>
      <c r="E24" s="1">
        <f t="shared" si="1"/>
        <v>0</v>
      </c>
      <c r="F24" t="str">
        <f t="shared" si="0"/>
        <v/>
      </c>
    </row>
    <row r="25" spans="1:6" x14ac:dyDescent="0.25">
      <c r="A25" s="2"/>
      <c r="C25" s="1"/>
      <c r="D25" s="1"/>
      <c r="E25" s="1">
        <f t="shared" si="1"/>
        <v>0</v>
      </c>
      <c r="F25" t="str">
        <f t="shared" si="0"/>
        <v/>
      </c>
    </row>
    <row r="26" spans="1:6" x14ac:dyDescent="0.25">
      <c r="A26" s="2"/>
      <c r="C26" s="1"/>
      <c r="D26" s="1"/>
      <c r="E26" s="1">
        <f t="shared" si="1"/>
        <v>0</v>
      </c>
      <c r="F26" t="str">
        <f t="shared" si="0"/>
        <v/>
      </c>
    </row>
    <row r="27" spans="1:6" x14ac:dyDescent="0.25">
      <c r="A27" s="2"/>
      <c r="C27" s="1"/>
      <c r="D27" s="1"/>
      <c r="E27" s="1">
        <f t="shared" si="1"/>
        <v>0</v>
      </c>
      <c r="F27" t="str">
        <f t="shared" si="0"/>
        <v/>
      </c>
    </row>
    <row r="28" spans="1:6" x14ac:dyDescent="0.25">
      <c r="A28" s="2"/>
      <c r="C28" s="1"/>
      <c r="D28" s="1"/>
      <c r="E28" s="1">
        <f t="shared" si="1"/>
        <v>0</v>
      </c>
      <c r="F28" t="str">
        <f t="shared" si="0"/>
        <v/>
      </c>
    </row>
    <row r="29" spans="1:6" x14ac:dyDescent="0.25">
      <c r="A29" s="2"/>
      <c r="C29" s="1"/>
      <c r="D29" s="1"/>
      <c r="E29" s="1">
        <f t="shared" si="1"/>
        <v>0</v>
      </c>
      <c r="F29" t="str">
        <f t="shared" si="0"/>
        <v/>
      </c>
    </row>
    <row r="30" spans="1:6" x14ac:dyDescent="0.25">
      <c r="A30" s="2"/>
      <c r="C30" s="1"/>
      <c r="D30" s="1"/>
      <c r="E30" s="1">
        <f t="shared" si="1"/>
        <v>0</v>
      </c>
      <c r="F30" t="str">
        <f t="shared" si="0"/>
        <v/>
      </c>
    </row>
    <row r="31" spans="1:6" x14ac:dyDescent="0.25">
      <c r="A31" s="2"/>
      <c r="C31" s="1"/>
      <c r="D31" s="1"/>
      <c r="E31" s="1">
        <f t="shared" si="1"/>
        <v>0</v>
      </c>
      <c r="F31" t="str">
        <f t="shared" si="0"/>
        <v/>
      </c>
    </row>
    <row r="32" spans="1:6" x14ac:dyDescent="0.25">
      <c r="A32" s="2"/>
      <c r="C32" s="1"/>
      <c r="D32" s="1"/>
      <c r="E32" s="1">
        <f t="shared" si="1"/>
        <v>0</v>
      </c>
      <c r="F32" t="str">
        <f t="shared" si="0"/>
        <v/>
      </c>
    </row>
    <row r="33" spans="1:6" x14ac:dyDescent="0.25">
      <c r="A33" s="2"/>
      <c r="C33" s="1"/>
      <c r="D33" s="1"/>
      <c r="E33" s="1">
        <f t="shared" si="1"/>
        <v>0</v>
      </c>
      <c r="F33" t="str">
        <f t="shared" si="0"/>
        <v/>
      </c>
    </row>
    <row r="34" spans="1:6" x14ac:dyDescent="0.25">
      <c r="A34" s="2"/>
      <c r="C34" s="1"/>
      <c r="D34" s="1"/>
      <c r="E34" s="1">
        <f t="shared" si="1"/>
        <v>0</v>
      </c>
      <c r="F34" t="str">
        <f t="shared" si="0"/>
        <v/>
      </c>
    </row>
    <row r="35" spans="1:6" x14ac:dyDescent="0.25">
      <c r="A35" s="2"/>
      <c r="C35" s="1"/>
      <c r="D35" s="1"/>
      <c r="E35" s="1">
        <f t="shared" si="1"/>
        <v>0</v>
      </c>
      <c r="F35" t="str">
        <f t="shared" si="0"/>
        <v/>
      </c>
    </row>
    <row r="36" spans="1:6" x14ac:dyDescent="0.25">
      <c r="A36" s="2"/>
      <c r="C36" s="1"/>
      <c r="D36" s="1"/>
      <c r="E36" s="1">
        <f t="shared" ref="E36:E53" si="2">IF(C36*D36=0,0,C36-D36)</f>
        <v>0</v>
      </c>
      <c r="F36" t="str">
        <f t="shared" ref="F36:F53" si="3">IF(C36=0,"",IF(E36=0,"مطابق","فيه فرق"))</f>
        <v/>
      </c>
    </row>
    <row r="37" spans="1:6" x14ac:dyDescent="0.25">
      <c r="A37" s="2"/>
      <c r="C37" s="1"/>
      <c r="D37" s="1"/>
      <c r="E37" s="1">
        <f t="shared" si="2"/>
        <v>0</v>
      </c>
      <c r="F37" t="str">
        <f t="shared" si="3"/>
        <v/>
      </c>
    </row>
    <row r="38" spans="1:6" x14ac:dyDescent="0.25">
      <c r="A38" s="2"/>
      <c r="C38" s="1"/>
      <c r="D38" s="1"/>
      <c r="E38" s="1">
        <f t="shared" si="2"/>
        <v>0</v>
      </c>
      <c r="F38" t="str">
        <f t="shared" si="3"/>
        <v/>
      </c>
    </row>
    <row r="39" spans="1:6" x14ac:dyDescent="0.25">
      <c r="A39" s="2"/>
      <c r="C39" s="1"/>
      <c r="D39" s="1"/>
      <c r="E39" s="1">
        <f t="shared" si="2"/>
        <v>0</v>
      </c>
      <c r="F39" t="str">
        <f t="shared" si="3"/>
        <v/>
      </c>
    </row>
    <row r="40" spans="1:6" x14ac:dyDescent="0.25">
      <c r="A40" s="2"/>
      <c r="C40" s="1"/>
      <c r="D40" s="1"/>
      <c r="E40" s="1">
        <f t="shared" si="2"/>
        <v>0</v>
      </c>
      <c r="F40" t="str">
        <f t="shared" si="3"/>
        <v/>
      </c>
    </row>
    <row r="41" spans="1:6" x14ac:dyDescent="0.25">
      <c r="A41" s="2"/>
      <c r="C41" s="1"/>
      <c r="D41" s="1"/>
      <c r="E41" s="1">
        <f t="shared" si="2"/>
        <v>0</v>
      </c>
      <c r="F41" t="str">
        <f t="shared" si="3"/>
        <v/>
      </c>
    </row>
    <row r="42" spans="1:6" x14ac:dyDescent="0.25">
      <c r="A42" s="2"/>
      <c r="C42" s="1"/>
      <c r="D42" s="1"/>
      <c r="E42" s="1">
        <f t="shared" si="2"/>
        <v>0</v>
      </c>
      <c r="F42" t="str">
        <f t="shared" si="3"/>
        <v/>
      </c>
    </row>
    <row r="43" spans="1:6" x14ac:dyDescent="0.25">
      <c r="A43" s="2"/>
      <c r="C43" s="1"/>
      <c r="D43" s="1"/>
      <c r="E43" s="1">
        <f t="shared" si="2"/>
        <v>0</v>
      </c>
      <c r="F43" t="str">
        <f t="shared" si="3"/>
        <v/>
      </c>
    </row>
    <row r="44" spans="1:6" x14ac:dyDescent="0.25">
      <c r="A44" s="2"/>
      <c r="C44" s="1"/>
      <c r="D44" s="1"/>
      <c r="E44" s="1">
        <f t="shared" si="2"/>
        <v>0</v>
      </c>
      <c r="F44" t="str">
        <f t="shared" si="3"/>
        <v/>
      </c>
    </row>
    <row r="45" spans="1:6" x14ac:dyDescent="0.25">
      <c r="A45" s="2"/>
      <c r="C45" s="1"/>
      <c r="D45" s="1"/>
      <c r="E45" s="1">
        <f t="shared" si="2"/>
        <v>0</v>
      </c>
      <c r="F45" t="str">
        <f t="shared" si="3"/>
        <v/>
      </c>
    </row>
    <row r="46" spans="1:6" x14ac:dyDescent="0.25">
      <c r="A46" s="2"/>
      <c r="C46" s="1"/>
      <c r="D46" s="1"/>
      <c r="E46" s="1">
        <f t="shared" si="2"/>
        <v>0</v>
      </c>
      <c r="F46" t="str">
        <f t="shared" si="3"/>
        <v/>
      </c>
    </row>
    <row r="47" spans="1:6" x14ac:dyDescent="0.25">
      <c r="A47" s="2"/>
      <c r="C47" s="1"/>
      <c r="D47" s="1"/>
      <c r="E47" s="1">
        <f t="shared" si="2"/>
        <v>0</v>
      </c>
      <c r="F47" t="str">
        <f t="shared" si="3"/>
        <v/>
      </c>
    </row>
    <row r="48" spans="1:6" x14ac:dyDescent="0.25">
      <c r="A48" s="2"/>
      <c r="C48" s="1"/>
      <c r="D48" s="1"/>
      <c r="E48" s="1">
        <f t="shared" si="2"/>
        <v>0</v>
      </c>
      <c r="F48" t="str">
        <f t="shared" si="3"/>
        <v/>
      </c>
    </row>
    <row r="49" spans="1:6" x14ac:dyDescent="0.25">
      <c r="A49" s="2"/>
      <c r="C49" s="1"/>
      <c r="D49" s="1"/>
      <c r="E49" s="1">
        <f t="shared" si="2"/>
        <v>0</v>
      </c>
      <c r="F49" t="str">
        <f t="shared" si="3"/>
        <v/>
      </c>
    </row>
    <row r="50" spans="1:6" x14ac:dyDescent="0.25">
      <c r="A50" s="2"/>
      <c r="C50" s="1"/>
      <c r="D50" s="1"/>
      <c r="E50" s="1">
        <f t="shared" si="2"/>
        <v>0</v>
      </c>
      <c r="F50" t="str">
        <f t="shared" si="3"/>
        <v/>
      </c>
    </row>
    <row r="51" spans="1:6" x14ac:dyDescent="0.25">
      <c r="A51" s="2"/>
      <c r="C51" s="1"/>
      <c r="D51" s="1"/>
      <c r="E51" s="1">
        <f t="shared" si="2"/>
        <v>0</v>
      </c>
      <c r="F51" t="str">
        <f t="shared" si="3"/>
        <v/>
      </c>
    </row>
    <row r="52" spans="1:6" x14ac:dyDescent="0.25">
      <c r="A52" s="2"/>
      <c r="C52" s="1"/>
      <c r="D52" s="1"/>
      <c r="E52" s="1">
        <f t="shared" si="2"/>
        <v>0</v>
      </c>
      <c r="F52" t="str">
        <f t="shared" si="3"/>
        <v/>
      </c>
    </row>
    <row r="53" spans="1:6" x14ac:dyDescent="0.25">
      <c r="A53" s="2"/>
      <c r="C53" s="1"/>
      <c r="D53" s="1"/>
      <c r="E53" s="1">
        <f t="shared" si="2"/>
        <v>0</v>
      </c>
      <c r="F53" t="str">
        <f t="shared" si="3"/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7CEEB"/>
  </sheetPr>
  <dimension ref="A1:H18"/>
  <sheetViews>
    <sheetView workbookViewId="0">
      <selection activeCell="K12" sqref="K12"/>
    </sheetView>
  </sheetViews>
  <sheetFormatPr defaultRowHeight="15" x14ac:dyDescent="0.25"/>
  <cols>
    <col min="1" max="1" width="6" customWidth="1"/>
    <col min="2" max="2" width="20" customWidth="1"/>
    <col min="3" max="3" width="16" customWidth="1"/>
    <col min="4" max="5" width="25" customWidth="1"/>
    <col min="6" max="6" width="18" customWidth="1"/>
    <col min="7" max="8" width="14" customWidth="1"/>
  </cols>
  <sheetData>
    <row r="1" spans="1:8" ht="24" x14ac:dyDescent="0.25">
      <c r="A1" s="65" t="s">
        <v>65</v>
      </c>
      <c r="B1" s="64"/>
      <c r="C1" s="64"/>
      <c r="D1" s="64"/>
      <c r="E1" s="64"/>
      <c r="F1" s="64"/>
      <c r="G1" s="64"/>
      <c r="H1" s="64"/>
    </row>
    <row r="3" spans="1:8" x14ac:dyDescent="0.25">
      <c r="A3" s="27" t="s">
        <v>12</v>
      </c>
      <c r="B3" s="27" t="s">
        <v>4</v>
      </c>
      <c r="C3" s="27" t="s">
        <v>66</v>
      </c>
      <c r="D3" s="27" t="s">
        <v>67</v>
      </c>
      <c r="E3" s="27" t="s">
        <v>68</v>
      </c>
      <c r="F3" s="27" t="s">
        <v>69</v>
      </c>
      <c r="G3" s="27" t="s">
        <v>70</v>
      </c>
      <c r="H3" s="27" t="s">
        <v>8</v>
      </c>
    </row>
    <row r="4" spans="1:8" x14ac:dyDescent="0.25">
      <c r="A4">
        <v>2</v>
      </c>
      <c r="F4" s="1">
        <f>IF(B4="",0,SUMIF('المشتريات اليومية'!D:D,B4,'المشتريات اليومية'!G:G))</f>
        <v>0</v>
      </c>
      <c r="G4" s="1"/>
      <c r="H4" s="1">
        <f t="shared" ref="H4:H18" si="0">IF(F4=0,0,F4-G4)</f>
        <v>0</v>
      </c>
    </row>
    <row r="5" spans="1:8" x14ac:dyDescent="0.25">
      <c r="A5">
        <v>1</v>
      </c>
      <c r="F5" s="1">
        <f>IF(B5="",0,SUMIF('المشتريات اليومية'!D:D,B5,'المشتريات اليومية'!G:G))</f>
        <v>0</v>
      </c>
      <c r="G5" s="1"/>
      <c r="H5" s="1">
        <f t="shared" si="0"/>
        <v>0</v>
      </c>
    </row>
    <row r="6" spans="1:8" x14ac:dyDescent="0.25">
      <c r="A6">
        <v>3</v>
      </c>
      <c r="F6" s="1">
        <f>IF(B6="",0,SUMIF('المشتريات اليومية'!D:D,B6,'المشتريات اليومية'!G:G))</f>
        <v>0</v>
      </c>
      <c r="G6" s="1"/>
      <c r="H6" s="1">
        <f t="shared" si="0"/>
        <v>0</v>
      </c>
    </row>
    <row r="7" spans="1:8" x14ac:dyDescent="0.25">
      <c r="A7">
        <v>4</v>
      </c>
      <c r="F7" s="1">
        <f>IF(B7="",0,SUMIF('المشتريات اليومية'!D:D,B7,'المشتريات اليومية'!G:G))</f>
        <v>0</v>
      </c>
      <c r="G7" s="1"/>
      <c r="H7" s="1">
        <f t="shared" si="0"/>
        <v>0</v>
      </c>
    </row>
    <row r="8" spans="1:8" x14ac:dyDescent="0.25">
      <c r="A8">
        <v>5</v>
      </c>
      <c r="F8" s="1">
        <f>IF(B8="",0,SUMIF('المشتريات اليومية'!D:D,B8,'المشتريات اليومية'!G:G))</f>
        <v>0</v>
      </c>
      <c r="G8" s="1"/>
      <c r="H8" s="1">
        <f t="shared" si="0"/>
        <v>0</v>
      </c>
    </row>
    <row r="9" spans="1:8" x14ac:dyDescent="0.25">
      <c r="A9">
        <v>6</v>
      </c>
      <c r="F9" s="1">
        <f>IF(B9="",0,SUMIF('المشتريات اليومية'!D:D,B9,'المشتريات اليومية'!G:G))</f>
        <v>0</v>
      </c>
      <c r="G9" s="1"/>
      <c r="H9" s="1">
        <f t="shared" si="0"/>
        <v>0</v>
      </c>
    </row>
    <row r="10" spans="1:8" x14ac:dyDescent="0.25">
      <c r="A10">
        <v>7</v>
      </c>
      <c r="F10" s="1">
        <f>IF(B10="",0,SUMIF('المشتريات اليومية'!D:D,B10,'المشتريات اليومية'!G:G))</f>
        <v>0</v>
      </c>
      <c r="G10" s="1"/>
      <c r="H10" s="1">
        <f t="shared" si="0"/>
        <v>0</v>
      </c>
    </row>
    <row r="11" spans="1:8" x14ac:dyDescent="0.25">
      <c r="A11">
        <v>8</v>
      </c>
      <c r="F11" s="1">
        <f>IF(B11="",0,SUMIF('المشتريات اليومية'!D:D,B11,'المشتريات اليومية'!G:G))</f>
        <v>0</v>
      </c>
      <c r="G11" s="1"/>
      <c r="H11" s="1">
        <f t="shared" si="0"/>
        <v>0</v>
      </c>
    </row>
    <row r="12" spans="1:8" x14ac:dyDescent="0.25">
      <c r="A12">
        <v>9</v>
      </c>
      <c r="F12" s="1">
        <f>IF(B12="",0,SUMIF('المشتريات اليومية'!D:D,B12,'المشتريات اليومية'!G:G))</f>
        <v>0</v>
      </c>
      <c r="G12" s="1"/>
      <c r="H12" s="1">
        <f t="shared" si="0"/>
        <v>0</v>
      </c>
    </row>
    <row r="13" spans="1:8" x14ac:dyDescent="0.25">
      <c r="A13">
        <v>10</v>
      </c>
      <c r="F13" s="1">
        <f>IF(B13="",0,SUMIF('المشتريات اليومية'!D:D,B13,'المشتريات اليومية'!G:G))</f>
        <v>0</v>
      </c>
      <c r="G13" s="1"/>
      <c r="H13" s="1">
        <f t="shared" si="0"/>
        <v>0</v>
      </c>
    </row>
    <row r="14" spans="1:8" x14ac:dyDescent="0.25">
      <c r="A14">
        <v>11</v>
      </c>
      <c r="F14" s="1">
        <f>IF(B14="",0,SUMIF('المشتريات اليومية'!D:D,B14,'المشتريات اليومية'!G:G))</f>
        <v>0</v>
      </c>
      <c r="G14" s="1"/>
      <c r="H14" s="1">
        <f t="shared" si="0"/>
        <v>0</v>
      </c>
    </row>
    <row r="15" spans="1:8" x14ac:dyDescent="0.25">
      <c r="A15">
        <v>12</v>
      </c>
      <c r="F15" s="1">
        <f>IF(B15="",0,SUMIF('المشتريات اليومية'!D:D,B15,'المشتريات اليومية'!G:G))</f>
        <v>0</v>
      </c>
      <c r="G15" s="1"/>
      <c r="H15" s="1">
        <f t="shared" si="0"/>
        <v>0</v>
      </c>
    </row>
    <row r="16" spans="1:8" x14ac:dyDescent="0.25">
      <c r="A16">
        <v>13</v>
      </c>
      <c r="F16" s="1">
        <f>IF(B16="",0,SUMIF('المشتريات اليومية'!D:D,B16,'المشتريات اليومية'!G:G))</f>
        <v>0</v>
      </c>
      <c r="G16" s="1"/>
      <c r="H16" s="1">
        <f t="shared" si="0"/>
        <v>0</v>
      </c>
    </row>
    <row r="17" spans="1:8" x14ac:dyDescent="0.25">
      <c r="A17">
        <v>14</v>
      </c>
      <c r="F17" s="1">
        <f>IF(B17="",0,SUMIF('المشتريات اليومية'!D:D,B17,'المشتريات اليومية'!G:G))</f>
        <v>0</v>
      </c>
      <c r="G17" s="1"/>
      <c r="H17" s="1">
        <f t="shared" si="0"/>
        <v>0</v>
      </c>
    </row>
    <row r="18" spans="1:8" x14ac:dyDescent="0.25">
      <c r="A18">
        <v>15</v>
      </c>
      <c r="F18" s="1">
        <f>IF(B18="",0,SUMIF('المشتريات اليومية'!D:D,B18,'المشتريات اليومية'!G:G))</f>
        <v>0</v>
      </c>
      <c r="G18" s="1"/>
      <c r="H18" s="1">
        <f t="shared" si="0"/>
        <v>0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0A280"/>
  </sheetPr>
  <dimension ref="A1:G21"/>
  <sheetViews>
    <sheetView workbookViewId="0">
      <selection activeCell="G15" sqref="G15"/>
    </sheetView>
  </sheetViews>
  <sheetFormatPr defaultRowHeight="15" x14ac:dyDescent="0.25"/>
  <cols>
    <col min="1" max="1" width="18" customWidth="1"/>
    <col min="2" max="3" width="20" customWidth="1"/>
    <col min="4" max="4" width="24.5703125" bestFit="1" customWidth="1"/>
    <col min="5" max="5" width="18" customWidth="1"/>
    <col min="6" max="6" width="22" customWidth="1"/>
    <col min="7" max="7" width="20" customWidth="1"/>
  </cols>
  <sheetData>
    <row r="1" spans="1:7" ht="24" x14ac:dyDescent="0.25">
      <c r="A1" s="65" t="s">
        <v>71</v>
      </c>
      <c r="B1" s="64"/>
      <c r="C1" s="64"/>
      <c r="D1" s="64"/>
      <c r="E1" s="64"/>
      <c r="F1" s="64"/>
      <c r="G1" s="64"/>
    </row>
    <row r="3" spans="1:7" x14ac:dyDescent="0.25">
      <c r="A3" s="27" t="s">
        <v>121</v>
      </c>
      <c r="B3" s="27" t="s">
        <v>123</v>
      </c>
      <c r="C3" s="27" t="s">
        <v>124</v>
      </c>
      <c r="D3" s="27" t="s">
        <v>125</v>
      </c>
      <c r="E3" s="27" t="s">
        <v>126</v>
      </c>
      <c r="F3" s="27" t="s">
        <v>127</v>
      </c>
      <c r="G3" s="27" t="s">
        <v>128</v>
      </c>
    </row>
    <row r="4" spans="1:7" ht="24.75" customHeight="1" x14ac:dyDescent="0.25">
      <c r="A4" s="46" t="s">
        <v>31</v>
      </c>
      <c r="B4" s="46" t="s">
        <v>72</v>
      </c>
      <c r="C4" s="46" t="s">
        <v>69</v>
      </c>
      <c r="D4" s="46" t="s">
        <v>157</v>
      </c>
      <c r="E4" s="46" t="s">
        <v>73</v>
      </c>
      <c r="F4" s="46" t="s">
        <v>74</v>
      </c>
      <c r="G4" s="46" t="s">
        <v>9</v>
      </c>
    </row>
    <row r="5" spans="1:7" ht="32.25" customHeight="1" x14ac:dyDescent="0.3">
      <c r="A5" s="45">
        <v>6</v>
      </c>
      <c r="B5" s="43">
        <f>SUM('تقفيلة اليوم'!I17:I40)</f>
        <v>246428</v>
      </c>
      <c r="C5" s="43">
        <f>SUM('المشتريات اليومية'!G36)</f>
        <v>163610</v>
      </c>
      <c r="D5" s="43">
        <v>29085</v>
      </c>
      <c r="E5" s="43">
        <f>SUM(الرواتب!I6:I32)</f>
        <v>86914</v>
      </c>
      <c r="F5" s="43">
        <f>SUM(E21)</f>
        <v>-33181</v>
      </c>
      <c r="G5" s="44"/>
    </row>
    <row r="6" spans="1:7" ht="13.5" customHeight="1" x14ac:dyDescent="0.25">
      <c r="B6" s="1"/>
      <c r="C6" s="1"/>
      <c r="D6" s="1"/>
      <c r="E6" s="1"/>
      <c r="F6" s="1"/>
    </row>
    <row r="7" spans="1:7" x14ac:dyDescent="0.25">
      <c r="B7" s="1"/>
      <c r="C7" s="1"/>
      <c r="D7" s="1"/>
      <c r="E7" s="1"/>
      <c r="F7" s="1"/>
    </row>
    <row r="16" spans="1:7" x14ac:dyDescent="0.25">
      <c r="E16" s="1">
        <f>SUM(C5:E5)</f>
        <v>279609</v>
      </c>
    </row>
    <row r="21" spans="5:5" x14ac:dyDescent="0.25">
      <c r="E21" s="1">
        <f>SUM(B5-E16)</f>
        <v>-33181</v>
      </c>
    </row>
  </sheetData>
  <mergeCells count="1">
    <mergeCell ref="A1:G1"/>
  </mergeCell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الموظفين</vt:lpstr>
      <vt:lpstr>الإيرادات اليومية</vt:lpstr>
      <vt:lpstr>المشتريات اليومية</vt:lpstr>
      <vt:lpstr>المصروفات</vt:lpstr>
      <vt:lpstr>تقفيلة اليوم</vt:lpstr>
      <vt:lpstr>الرواتب</vt:lpstr>
      <vt:lpstr>سلف الموظفين</vt:lpstr>
      <vt:lpstr>المخزون</vt:lpstr>
      <vt:lpstr>الجرد</vt:lpstr>
      <vt:lpstr>الموردين</vt:lpstr>
      <vt:lpstr>ملخص شهري</vt:lpstr>
      <vt:lpstr>الرواتب!Print_Area</vt:lpstr>
      <vt:lpstr>المصروفات!Print_Area</vt:lpstr>
      <vt:lpstr>'تقفيلة اليوم'!Print_Area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Eid Noh Eid Noh Saleh</dc:creator>
  <cp:lastModifiedBy>eidnouh55@outlook.com</cp:lastModifiedBy>
  <cp:lastPrinted>2026-07-09T12:54:27Z</cp:lastPrinted>
  <dcterms:created xsi:type="dcterms:W3CDTF">2026-06-27T05:51:50Z</dcterms:created>
  <dcterms:modified xsi:type="dcterms:W3CDTF">2026-07-16T23:27:33Z</dcterms:modified>
</cp:coreProperties>
</file>