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Dashboard" sheetId="1" state="visible" r:id="rId1"/>
    <sheet name="الموظفين" sheetId="2" state="visible" r:id="rId2"/>
    <sheet name="الإيرادات اليومية" sheetId="3" state="visible" r:id="rId3"/>
    <sheet name="المشتريات اليومية" sheetId="4" state="visible" r:id="rId4"/>
    <sheet name="المصروفات" sheetId="5" state="visible" r:id="rId5"/>
    <sheet name="تقفيلة اليوم" sheetId="6" state="visible" r:id="rId6"/>
    <sheet name="الرواتب" sheetId="7" state="visible" r:id="rId7"/>
    <sheet name="سلف الموظفين" sheetId="8" state="visible" r:id="rId8"/>
    <sheet name="حضور وانصراف" sheetId="9" state="visible" r:id="rId9"/>
    <sheet name="المخزون" sheetId="10" state="visible" r:id="rId10"/>
    <sheet name="الجرد" sheetId="11" state="visible" r:id="rId11"/>
    <sheet name="الموردين" sheetId="12" state="visible" r:id="rId12"/>
    <sheet name="ملخص شهري" sheetId="13" state="visible" r:id="rId13"/>
    <sheet name="قائمة الدخل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hh:mm"/>
    <numFmt numFmtId="166" formatCode="yyyy-mm-dd"/>
    <numFmt numFmtId="167" formatCode="DD/MM/YYYY"/>
    <numFmt numFmtId="168" formatCode="HH:MM"/>
  </numFmts>
  <fonts count="13">
    <font>
      <name val="Aptos Narrow"/>
      <family val="2"/>
      <color theme="1"/>
      <sz val="11"/>
      <scheme val="minor"/>
    </font>
    <font>
      <name val="Aptos Narrow"/>
      <b val="1"/>
      <sz val="22"/>
    </font>
    <font>
      <name val="Aptos Narrow"/>
      <b val="1"/>
      <sz val="14"/>
    </font>
    <font>
      <name val="Aptos Narrow"/>
      <b val="1"/>
      <sz val="11"/>
    </font>
    <font>
      <name val="Aptos Narrow"/>
      <b val="1"/>
      <sz val="12"/>
    </font>
    <font>
      <name val="Aptos Narrow"/>
      <b val="1"/>
      <sz val="18"/>
    </font>
    <font>
      <name val="Aptos Narrow"/>
      <b val="1"/>
      <sz val="11"/>
    </font>
    <font>
      <b val="1"/>
      <sz val="22"/>
    </font>
    <font>
      <b val="1"/>
      <sz val="14"/>
    </font>
    <font>
      <b val="1"/>
      <sz val="11"/>
    </font>
    <font>
      <b val="1"/>
      <sz val="12"/>
    </font>
    <font>
      <b val="1"/>
      <sz val="18"/>
    </font>
    <font>
      <b val="1"/>
    </font>
  </fonts>
  <fills count="6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4" fontId="4" fillId="0" borderId="0" pivotButton="0" quotePrefix="0" xfId="0"/>
    <xf numFmtId="0" fontId="6" fillId="2" borderId="1" applyAlignment="1" pivotButton="0" quotePrefix="0" xfId="0">
      <alignment horizontal="center"/>
    </xf>
    <xf numFmtId="164" fontId="0" fillId="0" borderId="0" pivotButton="0" quotePrefix="0" xfId="0"/>
    <xf numFmtId="0" fontId="3" fillId="3" borderId="1" pivotButton="0" quotePrefix="0" xfId="0"/>
    <xf numFmtId="0" fontId="0" fillId="3" borderId="1" pivotButton="0" quotePrefix="0" xfId="0"/>
    <xf numFmtId="4" fontId="3" fillId="3" borderId="1" pivotButton="0" quotePrefix="0" xfId="0"/>
    <xf numFmtId="4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4" fontId="3" fillId="3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4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4" fontId="9" fillId="0" borderId="0" pivotButton="0" quotePrefix="0" xfId="0"/>
    <xf numFmtId="4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/>
    </xf>
    <xf numFmtId="167" fontId="0" fillId="0" borderId="0" pivotButton="0" quotePrefix="0" xfId="0"/>
    <xf numFmtId="0" fontId="9" fillId="5" borderId="2" pivotButton="0" quotePrefix="0" xfId="0"/>
    <xf numFmtId="0" fontId="0" fillId="5" borderId="2" pivotButton="0" quotePrefix="0" xfId="0"/>
    <xf numFmtId="4" fontId="9" fillId="5" borderId="2" pivotButton="0" quotePrefix="0" xfId="0"/>
    <xf numFmtId="4" fontId="8" fillId="0" borderId="0" pivotButton="0" quotePrefix="0" xfId="0"/>
    <xf numFmtId="0" fontId="9" fillId="5" borderId="0" pivotButton="0" quotePrefix="0" xfId="0"/>
    <xf numFmtId="0" fontId="0" fillId="5" borderId="0" pivotButton="0" quotePrefix="0" xfId="0"/>
    <xf numFmtId="4" fontId="9" fillId="5" borderId="0" pivotButton="0" quotePrefix="0" xfId="0"/>
    <xf numFmtId="168" fontId="0" fillId="0" borderId="0" pivotButton="0" quotePrefix="0" xfId="0"/>
    <xf numFmtId="0" fontId="10" fillId="0" borderId="0" pivotButton="0" quotePrefix="0" xfId="0"/>
    <xf numFmtId="0" fontId="9" fillId="0" borderId="2" pivotButton="0" quotePrefix="0" xfId="0"/>
    <xf numFmtId="4" fontId="9" fillId="0" borderId="2" pivotButton="0" quotePrefix="0" xfId="0"/>
    <xf numFmtId="0" fontId="0" fillId="0" borderId="2" pivotButton="0" quotePrefix="0" xfId="0"/>
    <xf numFmtId="0" fontId="8" fillId="0" borderId="2" pivotButton="0" quotePrefix="0" xfId="0"/>
    <xf numFmtId="4" fontId="8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50A280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style="24" min="1" max="1"/>
    <col width="22" customWidth="1" style="24" min="2" max="2"/>
    <col width="20" customWidth="1" style="24" min="3" max="3"/>
    <col width="20" customWidth="1" style="24" min="4" max="4"/>
  </cols>
  <sheetData>
    <row r="1">
      <c r="A1" s="27" t="inlineStr">
        <is>
          <t>لوحة التحكم - Cafe 2M</t>
        </is>
      </c>
    </row>
    <row r="3">
      <c r="A3" s="28" t="inlineStr">
        <is>
          <t>مؤشرات الأداء الرئيسية</t>
        </is>
      </c>
    </row>
    <row r="5">
      <c r="A5" t="inlineStr">
        <is>
          <t>اجمالي الايرادات (الشهر الحالي)</t>
        </is>
      </c>
      <c r="B5" s="2">
        <f>SUMPRODUCT(ISNUMBER('الإيرادات اليومية'!A4:A34)*ISNUMBER('الإيرادات اليومية'!G4:G34)*(MONTH('الإيرادات اليومية'!A4:A34)=MONTH(TODAY()))*(YEAR('الإيرادات اليومية'!A4:A34)=YEAR(TODAY()))*'الإيرادات اليومية'!G4:G34)</f>
        <v/>
      </c>
    </row>
    <row r="6">
      <c r="B6" s="2">
        <f>SUMPRODUCT(ISNUMBER('المشتريات اليومية'!A4:A53)*ISNUMBER('المشتريات اليومية'!G4:G53)*(MONTH('المشتريات اليومية'!A4:A53)=MONTH(TODAY()))*(YEAR('المشتريات اليومية'!A4:A53)=YEAR(TODAY()))*'المشتريات اليومية'!G4:G53)</f>
        <v/>
      </c>
    </row>
    <row r="7">
      <c r="B7" s="2">
        <f>SUMPRODUCT(ISNUMBER('المصروفات'!A4:A53)*ISNUMBER('المصروفات'!D4:D53)*(MONTH('المصروفات'!A4:A53)=MONTH(TODAY()))*(YEAR('المصروفات'!A4:A53)=YEAR(TODAY()))*'المصروفات'!D4:D53)</f>
        <v/>
      </c>
    </row>
    <row r="8">
      <c r="A8" s="29" t="inlineStr">
        <is>
          <t>صافي الربح (الشهر الحالي)</t>
        </is>
      </c>
      <c r="B8" s="30">
        <f>B5-B6-B7</f>
        <v/>
      </c>
    </row>
    <row r="10">
      <c r="A10" s="28" t="inlineStr">
        <is>
          <t>ملخص اليوم</t>
        </is>
      </c>
    </row>
    <row r="11">
      <c r="A11" t="inlineStr">
        <is>
          <t>ايرادات اليوم</t>
        </is>
      </c>
      <c r="B11" s="2">
        <f>SUMIF('الإيرادات اليومية'!A:A,TODAY(),'الإيرادات اليومية'!G:G)</f>
        <v/>
      </c>
    </row>
    <row r="12">
      <c r="A12" t="inlineStr">
        <is>
          <t>مشتريات اليوم (نقدي)</t>
        </is>
      </c>
      <c r="B12" s="2">
        <f>SUMIFS('المشتريات اليومية'!H:H,'المشتريات اليومية'!A:A,TODAY())</f>
        <v/>
      </c>
    </row>
    <row r="13">
      <c r="A13" t="inlineStr">
        <is>
          <t>مصروفات اليوم</t>
        </is>
      </c>
      <c r="B13" s="2">
        <f>SUMIF('المصروفات'!A:A,TODAY(),'المصروفات'!D:D)</f>
        <v/>
      </c>
    </row>
    <row r="14">
      <c r="A14" s="29" t="inlineStr">
        <is>
          <t>صافي اليوم</t>
        </is>
      </c>
      <c r="B14" s="31">
        <f>B11-B12-B13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B0C4DE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" customWidth="1" style="24" min="1" max="1"/>
    <col width="22" customWidth="1" style="24" min="2" max="2"/>
    <col width="20" customWidth="1" style="24" min="3" max="3"/>
    <col width="18" customWidth="1" style="24" min="4" max="4"/>
  </cols>
  <sheetData>
    <row r="1">
      <c r="A1" s="32" t="inlineStr">
        <is>
          <t>بيانات الموظفين</t>
        </is>
      </c>
    </row>
    <row r="3">
      <c r="A3" s="33" t="inlineStr">
        <is>
          <t>م</t>
        </is>
      </c>
      <c r="B3" s="33" t="inlineStr">
        <is>
          <t>اسم الموظف</t>
        </is>
      </c>
      <c r="C3" s="33" t="inlineStr">
        <is>
          <t>الوظيفة</t>
        </is>
      </c>
      <c r="D3" s="33" t="inlineStr">
        <is>
          <t>رقم التلفون</t>
        </is>
      </c>
    </row>
    <row r="4">
      <c r="A4" t="n">
        <v>1</v>
      </c>
      <c r="B4" t="inlineStr">
        <is>
          <t>أحمد محمد</t>
        </is>
      </c>
      <c r="C4" t="inlineStr">
        <is>
          <t>مدير</t>
        </is>
      </c>
      <c r="D4" t="inlineStr">
        <is>
          <t>01234567891</t>
        </is>
      </c>
    </row>
    <row r="5">
      <c r="A5" t="n">
        <v>2</v>
      </c>
      <c r="B5" t="inlineStr">
        <is>
          <t>خالد علي</t>
        </is>
      </c>
      <c r="C5" t="inlineStr">
        <is>
          <t>باريستا</t>
        </is>
      </c>
      <c r="D5" t="inlineStr">
        <is>
          <t>01234567892</t>
        </is>
      </c>
    </row>
    <row r="6">
      <c r="A6" t="n">
        <v>3</v>
      </c>
      <c r="B6" t="inlineStr">
        <is>
          <t>محمد حسن</t>
        </is>
      </c>
      <c r="C6" t="inlineStr">
        <is>
          <t>باريستا</t>
        </is>
      </c>
      <c r="D6" t="inlineStr">
        <is>
          <t>01234567893</t>
        </is>
      </c>
    </row>
    <row r="7">
      <c r="A7" t="n">
        <v>4</v>
      </c>
      <c r="B7" t="inlineStr">
        <is>
          <t>يوسف عبدالله</t>
        </is>
      </c>
      <c r="C7" t="inlineStr">
        <is>
          <t>شيف</t>
        </is>
      </c>
      <c r="D7" t="inlineStr">
        <is>
          <t>01234567894</t>
        </is>
      </c>
    </row>
    <row r="8">
      <c r="A8" t="n">
        <v>5</v>
      </c>
      <c r="B8" t="inlineStr">
        <is>
          <t>عمر أحمد</t>
        </is>
      </c>
      <c r="C8" t="inlineStr">
        <is>
          <t>خدمة عملاء</t>
        </is>
      </c>
      <c r="D8" t="inlineStr">
        <is>
          <t>01234567895</t>
        </is>
      </c>
    </row>
    <row r="9">
      <c r="A9" t="n">
        <v>6</v>
      </c>
    </row>
    <row r="10">
      <c r="A10" t="n">
        <v>7</v>
      </c>
    </row>
    <row r="11">
      <c r="A11" t="n">
        <v>8</v>
      </c>
    </row>
    <row r="12">
      <c r="A12" t="n">
        <v>9</v>
      </c>
    </row>
    <row r="13">
      <c r="A13" t="n">
        <v>10</v>
      </c>
    </row>
    <row r="14">
      <c r="A14" t="n">
        <v>11</v>
      </c>
    </row>
    <row r="15">
      <c r="A15" t="n">
        <v>12</v>
      </c>
    </row>
    <row r="16">
      <c r="A16" t="n">
        <v>13</v>
      </c>
    </row>
    <row r="17">
      <c r="A17" t="n">
        <v>14</v>
      </c>
    </row>
    <row r="18">
      <c r="A18" t="n">
        <v>15</v>
      </c>
    </row>
    <row r="19">
      <c r="A19" t="n">
        <v>16</v>
      </c>
    </row>
    <row r="20">
      <c r="A20" t="n">
        <v>17</v>
      </c>
    </row>
    <row r="21">
      <c r="A21" t="n">
        <v>18</v>
      </c>
    </row>
    <row r="22">
      <c r="A22" t="n">
        <v>19</v>
      </c>
    </row>
    <row r="23">
      <c r="A23" t="n">
        <v>20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style="24" min="1" max="1"/>
    <col width="12" customWidth="1" style="24" min="2" max="2"/>
    <col width="14" customWidth="1" style="24" min="3" max="3"/>
    <col width="14" customWidth="1" style="24" min="4" max="4"/>
    <col width="18" customWidth="1" style="24" min="5" max="5"/>
    <col width="14" customWidth="1" style="24" min="6" max="6"/>
    <col width="14" customWidth="1" style="24" min="7" max="7"/>
    <col width="20" customWidth="1" style="24" min="8" max="8"/>
  </cols>
  <sheetData>
    <row r="1">
      <c r="A1" s="32" t="inlineStr">
        <is>
          <t>جدول الإيرادات اليومية</t>
        </is>
      </c>
    </row>
    <row r="3">
      <c r="A3" s="33" t="inlineStr">
        <is>
          <t>التاريخ</t>
        </is>
      </c>
      <c r="B3" s="33" t="inlineStr">
        <is>
          <t>اليوم</t>
        </is>
      </c>
      <c r="C3" s="33" t="inlineStr">
        <is>
          <t>كاش</t>
        </is>
      </c>
      <c r="D3" s="33" t="inlineStr">
        <is>
          <t>فيزا</t>
        </is>
      </c>
      <c r="E3" s="33" t="inlineStr">
        <is>
          <t>تطبيقات التوصيل</t>
        </is>
      </c>
      <c r="F3" s="33" t="inlineStr">
        <is>
          <t>إيرادات أخرى</t>
        </is>
      </c>
      <c r="G3" s="33" t="inlineStr">
        <is>
          <t>الإجمالي</t>
        </is>
      </c>
      <c r="H3" s="33" t="inlineStr">
        <is>
          <t>ملاحظات</t>
        </is>
      </c>
    </row>
    <row r="4">
      <c r="A4" s="34" t="n">
        <v>46174</v>
      </c>
      <c r="B4" t="inlineStr">
        <is>
          <t>الاثنين</t>
        </is>
      </c>
      <c r="C4" s="2" t="n"/>
      <c r="D4" s="2" t="n"/>
      <c r="E4" s="2" t="n"/>
      <c r="F4" s="2" t="n"/>
      <c r="G4" s="2">
        <f>IF(SUM(C4:F4)=0,0,SUM(C4:F4))</f>
        <v/>
      </c>
    </row>
    <row r="5">
      <c r="A5" s="34" t="n">
        <v>46175</v>
      </c>
      <c r="B5" t="inlineStr">
        <is>
          <t>الثلاثاء</t>
        </is>
      </c>
      <c r="C5" s="2" t="n"/>
      <c r="D5" s="2" t="n"/>
      <c r="E5" s="2" t="n"/>
      <c r="F5" s="2" t="n"/>
      <c r="G5" s="2">
        <f>IF(SUM(C5:F5)=0,0,SUM(C5:F5))</f>
        <v/>
      </c>
    </row>
    <row r="6">
      <c r="A6" s="34" t="n">
        <v>46176</v>
      </c>
      <c r="B6" t="inlineStr">
        <is>
          <t>الأربعاء</t>
        </is>
      </c>
      <c r="C6" s="2" t="n"/>
      <c r="D6" s="2" t="n"/>
      <c r="E6" s="2" t="n"/>
      <c r="F6" s="2" t="n"/>
      <c r="G6" s="2">
        <f>IF(SUM(C6:F6)=0,0,SUM(C6:F6))</f>
        <v/>
      </c>
    </row>
    <row r="7">
      <c r="A7" s="34" t="n">
        <v>46177</v>
      </c>
      <c r="B7" t="inlineStr">
        <is>
          <t>الخميس</t>
        </is>
      </c>
      <c r="C7" s="2" t="n"/>
      <c r="D7" s="2" t="n"/>
      <c r="E7" s="2" t="n"/>
      <c r="F7" s="2" t="n"/>
      <c r="G7" s="2">
        <f>IF(SUM(C7:F7)=0,0,SUM(C7:F7))</f>
        <v/>
      </c>
    </row>
    <row r="8">
      <c r="A8" s="34" t="n">
        <v>46178</v>
      </c>
      <c r="B8" t="inlineStr">
        <is>
          <t>الجمعة</t>
        </is>
      </c>
      <c r="C8" s="2" t="n"/>
      <c r="D8" s="2" t="n"/>
      <c r="E8" s="2" t="n"/>
      <c r="F8" s="2" t="n"/>
      <c r="G8" s="2">
        <f>IF(SUM(C8:F8)=0,0,SUM(C8:F8))</f>
        <v/>
      </c>
    </row>
    <row r="9">
      <c r="A9" s="34" t="n">
        <v>46179</v>
      </c>
      <c r="B9" t="inlineStr">
        <is>
          <t>السبت</t>
        </is>
      </c>
      <c r="C9" s="2" t="n"/>
      <c r="D9" s="2" t="n"/>
      <c r="E9" s="2" t="n"/>
      <c r="F9" s="2" t="n"/>
      <c r="G9" s="2">
        <f>IF(SUM(C9:F9)=0,0,SUM(C9:F9))</f>
        <v/>
      </c>
    </row>
    <row r="10">
      <c r="A10" s="34" t="n">
        <v>46180</v>
      </c>
      <c r="B10" t="inlineStr">
        <is>
          <t>الأحد</t>
        </is>
      </c>
      <c r="C10" s="2" t="n"/>
      <c r="D10" s="2" t="n"/>
      <c r="E10" s="2" t="n"/>
      <c r="F10" s="2" t="n"/>
      <c r="G10" s="2">
        <f>IF(SUM(C10:F10)=0,0,SUM(C10:F10))</f>
        <v/>
      </c>
    </row>
    <row r="11">
      <c r="A11" s="34" t="n">
        <v>46181</v>
      </c>
      <c r="B11" t="inlineStr">
        <is>
          <t>الاثنين</t>
        </is>
      </c>
      <c r="C11" s="2" t="n"/>
      <c r="D11" s="2" t="n"/>
      <c r="E11" s="2" t="n"/>
      <c r="F11" s="2" t="n"/>
      <c r="G11" s="2">
        <f>IF(SUM(C11:F11)=0,0,SUM(C11:F11))</f>
        <v/>
      </c>
    </row>
    <row r="12">
      <c r="A12" s="34" t="n">
        <v>46182</v>
      </c>
      <c r="B12" t="inlineStr">
        <is>
          <t>الثلاثاء</t>
        </is>
      </c>
      <c r="C12" s="2" t="n"/>
      <c r="D12" s="2" t="n"/>
      <c r="E12" s="2" t="n"/>
      <c r="F12" s="2" t="n"/>
      <c r="G12" s="2">
        <f>IF(SUM(C12:F12)=0,0,SUM(C12:F12))</f>
        <v/>
      </c>
    </row>
    <row r="13">
      <c r="A13" s="34" t="n">
        <v>46183</v>
      </c>
      <c r="B13" t="inlineStr">
        <is>
          <t>الأربعاء</t>
        </is>
      </c>
      <c r="C13" s="2" t="n"/>
      <c r="D13" s="2" t="n"/>
      <c r="E13" s="2" t="n"/>
      <c r="F13" s="2" t="n"/>
      <c r="G13" s="2">
        <f>IF(SUM(C13:F13)=0,0,SUM(C13:F13))</f>
        <v/>
      </c>
    </row>
    <row r="14">
      <c r="A14" s="34" t="n">
        <v>46184</v>
      </c>
      <c r="B14" t="inlineStr">
        <is>
          <t>الخميس</t>
        </is>
      </c>
      <c r="C14" s="2" t="n"/>
      <c r="D14" s="2" t="n"/>
      <c r="E14" s="2" t="n"/>
      <c r="F14" s="2" t="n"/>
      <c r="G14" s="2">
        <f>IF(SUM(C14:F14)=0,0,SUM(C14:F14))</f>
        <v/>
      </c>
    </row>
    <row r="15">
      <c r="A15" s="34" t="n">
        <v>46185</v>
      </c>
      <c r="B15" t="inlineStr">
        <is>
          <t>الجمعة</t>
        </is>
      </c>
      <c r="C15" s="2" t="n"/>
      <c r="D15" s="2" t="n"/>
      <c r="E15" s="2" t="n"/>
      <c r="F15" s="2" t="n"/>
      <c r="G15" s="2">
        <f>IF(SUM(C15:F15)=0,0,SUM(C15:F15))</f>
        <v/>
      </c>
    </row>
    <row r="16">
      <c r="A16" s="34" t="n">
        <v>46186</v>
      </c>
      <c r="B16" t="inlineStr">
        <is>
          <t>السبت</t>
        </is>
      </c>
      <c r="C16" s="2" t="n"/>
      <c r="D16" s="2" t="n"/>
      <c r="E16" s="2" t="n"/>
      <c r="F16" s="2" t="n"/>
      <c r="G16" s="2">
        <f>IF(SUM(C16:F16)=0,0,SUM(C16:F16))</f>
        <v/>
      </c>
    </row>
    <row r="17">
      <c r="A17" s="34" t="n">
        <v>46187</v>
      </c>
      <c r="B17" t="inlineStr">
        <is>
          <t>الأحد</t>
        </is>
      </c>
      <c r="C17" s="2" t="n"/>
      <c r="D17" s="2" t="n"/>
      <c r="E17" s="2" t="n"/>
      <c r="F17" s="2" t="n"/>
      <c r="G17" s="2">
        <f>IF(SUM(C17:F17)=0,0,SUM(C17:F17))</f>
        <v/>
      </c>
    </row>
    <row r="18">
      <c r="A18" s="34" t="n">
        <v>46188</v>
      </c>
      <c r="B18" t="inlineStr">
        <is>
          <t>الاثنين</t>
        </is>
      </c>
      <c r="C18" s="2" t="n"/>
      <c r="D18" s="2" t="n"/>
      <c r="E18" s="2" t="n"/>
      <c r="F18" s="2" t="n"/>
      <c r="G18" s="2">
        <f>IF(SUM(C18:F18)=0,0,SUM(C18:F18))</f>
        <v/>
      </c>
    </row>
    <row r="19">
      <c r="A19" s="34" t="n">
        <v>46189</v>
      </c>
      <c r="B19" t="inlineStr">
        <is>
          <t>الثلاثاء</t>
        </is>
      </c>
      <c r="C19" s="2" t="n"/>
      <c r="D19" s="2" t="n"/>
      <c r="E19" s="2" t="n"/>
      <c r="F19" s="2" t="n"/>
      <c r="G19" s="2">
        <f>IF(SUM(C19:F19)=0,0,SUM(C19:F19))</f>
        <v/>
      </c>
    </row>
    <row r="20">
      <c r="A20" s="34" t="n">
        <v>46190</v>
      </c>
      <c r="B20" t="inlineStr">
        <is>
          <t>الأربعاء</t>
        </is>
      </c>
      <c r="C20" s="2" t="n"/>
      <c r="D20" s="2" t="n"/>
      <c r="E20" s="2" t="n"/>
      <c r="F20" s="2" t="n"/>
      <c r="G20" s="2">
        <f>IF(SUM(C20:F20)=0,0,SUM(C20:F20))</f>
        <v/>
      </c>
    </row>
    <row r="21">
      <c r="A21" s="34" t="n">
        <v>46191</v>
      </c>
      <c r="B21" t="inlineStr">
        <is>
          <t>الخميس</t>
        </is>
      </c>
      <c r="C21" s="2" t="n"/>
      <c r="D21" s="2" t="n"/>
      <c r="E21" s="2" t="n"/>
      <c r="F21" s="2" t="n"/>
      <c r="G21" s="2">
        <f>IF(SUM(C21:F21)=0,0,SUM(C21:F21))</f>
        <v/>
      </c>
    </row>
    <row r="22">
      <c r="A22" s="34" t="n">
        <v>46192</v>
      </c>
      <c r="B22" t="inlineStr">
        <is>
          <t>الجمعة</t>
        </is>
      </c>
      <c r="C22" s="2" t="n"/>
      <c r="D22" s="2" t="n"/>
      <c r="E22" s="2" t="n"/>
      <c r="F22" s="2" t="n"/>
      <c r="G22" s="2">
        <f>IF(SUM(C22:F22)=0,0,SUM(C22:F22))</f>
        <v/>
      </c>
    </row>
    <row r="23">
      <c r="A23" s="34" t="n">
        <v>46193</v>
      </c>
      <c r="B23" t="inlineStr">
        <is>
          <t>السبت</t>
        </is>
      </c>
      <c r="C23" s="2" t="n"/>
      <c r="D23" s="2" t="n"/>
      <c r="E23" s="2" t="n"/>
      <c r="F23" s="2" t="n"/>
      <c r="G23" s="2">
        <f>IF(SUM(C23:F23)=0,0,SUM(C23:F23))</f>
        <v/>
      </c>
    </row>
    <row r="24">
      <c r="A24" s="34" t="n">
        <v>46194</v>
      </c>
      <c r="B24" t="inlineStr">
        <is>
          <t>الأحد</t>
        </is>
      </c>
      <c r="C24" s="2" t="n"/>
      <c r="D24" s="2" t="n"/>
      <c r="E24" s="2" t="n"/>
      <c r="F24" s="2" t="n"/>
      <c r="G24" s="2">
        <f>IF(SUM(C24:F24)=0,0,SUM(C24:F24))</f>
        <v/>
      </c>
    </row>
    <row r="25">
      <c r="A25" s="34" t="n">
        <v>46195</v>
      </c>
      <c r="B25" t="inlineStr">
        <is>
          <t>الاثنين</t>
        </is>
      </c>
      <c r="C25" s="2" t="n"/>
      <c r="D25" s="2" t="n"/>
      <c r="E25" s="2" t="n"/>
      <c r="F25" s="2" t="n"/>
      <c r="G25" s="2">
        <f>IF(SUM(C25:F25)=0,0,SUM(C25:F25))</f>
        <v/>
      </c>
    </row>
    <row r="26">
      <c r="A26" s="34" t="n">
        <v>46196</v>
      </c>
      <c r="B26" t="inlineStr">
        <is>
          <t>الثلاثاء</t>
        </is>
      </c>
      <c r="C26" s="2" t="n"/>
      <c r="D26" s="2" t="n"/>
      <c r="E26" s="2" t="n"/>
      <c r="F26" s="2" t="n"/>
      <c r="G26" s="2">
        <f>IF(SUM(C26:F26)=0,0,SUM(C26:F26))</f>
        <v/>
      </c>
    </row>
    <row r="27">
      <c r="A27" s="34" t="n">
        <v>46197</v>
      </c>
      <c r="B27" t="inlineStr">
        <is>
          <t>الأربعاء</t>
        </is>
      </c>
      <c r="C27" s="2" t="n"/>
      <c r="D27" s="2" t="n"/>
      <c r="E27" s="2" t="n"/>
      <c r="F27" s="2" t="n"/>
      <c r="G27" s="2">
        <f>IF(SUM(C27:F27)=0,0,SUM(C27:F27))</f>
        <v/>
      </c>
    </row>
    <row r="28">
      <c r="A28" s="34" t="n">
        <v>46198</v>
      </c>
      <c r="B28" t="inlineStr">
        <is>
          <t>الخميس</t>
        </is>
      </c>
      <c r="C28" s="2" t="n"/>
      <c r="D28" s="2" t="n"/>
      <c r="E28" s="2" t="n"/>
      <c r="F28" s="2" t="n"/>
      <c r="G28" s="2">
        <f>IF(SUM(C28:F28)=0,0,SUM(C28:F28))</f>
        <v/>
      </c>
    </row>
    <row r="29">
      <c r="A29" s="34" t="n">
        <v>46199</v>
      </c>
      <c r="B29" t="inlineStr">
        <is>
          <t>الجمعة</t>
        </is>
      </c>
      <c r="C29" s="2" t="n"/>
      <c r="D29" s="2" t="n"/>
      <c r="E29" s="2" t="n"/>
      <c r="F29" s="2" t="n"/>
      <c r="G29" s="2">
        <f>IF(SUM(C29:F29)=0,0,SUM(C29:F29))</f>
        <v/>
      </c>
    </row>
    <row r="30">
      <c r="A30" s="34" t="n">
        <v>46200</v>
      </c>
      <c r="B30" t="inlineStr">
        <is>
          <t>السبت</t>
        </is>
      </c>
      <c r="C30" s="2" t="n"/>
      <c r="D30" s="2" t="n"/>
      <c r="E30" s="2" t="n"/>
      <c r="F30" s="2" t="n"/>
      <c r="G30" s="2">
        <f>IF(SUM(C30:F30)=0,0,SUM(C30:F30))</f>
        <v/>
      </c>
    </row>
    <row r="31">
      <c r="A31" s="34" t="n">
        <v>46201</v>
      </c>
      <c r="B31" t="inlineStr">
        <is>
          <t>الأحد</t>
        </is>
      </c>
      <c r="C31" s="2" t="n"/>
      <c r="D31" s="2" t="n"/>
      <c r="E31" s="2" t="n"/>
      <c r="F31" s="2" t="n"/>
      <c r="G31" s="2">
        <f>IF(SUM(C31:F31)=0,0,SUM(C31:F31))</f>
        <v/>
      </c>
    </row>
    <row r="32">
      <c r="A32" s="34" t="n">
        <v>46202</v>
      </c>
      <c r="B32" t="inlineStr">
        <is>
          <t>الاثنين</t>
        </is>
      </c>
      <c r="C32" s="2" t="n"/>
      <c r="D32" s="2" t="n"/>
      <c r="E32" s="2" t="n"/>
      <c r="F32" s="2" t="n"/>
      <c r="G32" s="2">
        <f>IF(SUM(C32:F32)=0,0,SUM(C32:F32))</f>
        <v/>
      </c>
    </row>
    <row r="33">
      <c r="A33" s="34" t="n">
        <v>46203</v>
      </c>
      <c r="B33" t="inlineStr">
        <is>
          <t>الثلاثاء</t>
        </is>
      </c>
      <c r="C33" s="2" t="n"/>
      <c r="D33" s="2" t="n"/>
      <c r="E33" s="2" t="n"/>
      <c r="F33" s="2" t="n"/>
      <c r="G33" s="2">
        <f>IF(SUM(C33:F33)=0,0,SUM(C33:F33))</f>
        <v/>
      </c>
    </row>
    <row r="34">
      <c r="A34" s="35" t="inlineStr">
        <is>
          <t>الإجمالي</t>
        </is>
      </c>
      <c r="B34" s="36" t="n"/>
      <c r="C34" s="37">
        <f>SUM(C4:C33)</f>
        <v/>
      </c>
      <c r="D34" s="37">
        <f>SUM(D4:D33)</f>
        <v/>
      </c>
      <c r="E34" s="37">
        <f>SUM(E4:E33)</f>
        <v/>
      </c>
      <c r="F34" s="37">
        <f>SUM(F4:F33)</f>
        <v/>
      </c>
      <c r="G34" s="37">
        <f>SUM(G4:G33)</f>
        <v/>
      </c>
      <c r="H34" s="36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ED7D31"/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4" customWidth="1" style="24" min="1" max="1"/>
    <col width="12" customWidth="1" style="24" min="2" max="2"/>
    <col width="18" customWidth="1" style="24" min="3" max="3"/>
    <col width="18" customWidth="1" style="24" min="4" max="4"/>
    <col width="12" customWidth="1" style="24" min="5" max="5"/>
    <col width="12" customWidth="1" style="24" min="6" max="6"/>
    <col width="14" customWidth="1" style="24" min="7" max="7"/>
    <col width="14" customWidth="1" style="24" min="8" max="8"/>
    <col width="14" customWidth="1" style="24" min="9" max="9"/>
    <col width="20" customWidth="1" style="24" min="10" max="10"/>
  </cols>
  <sheetData>
    <row r="1">
      <c r="A1" s="32" t="inlineStr">
        <is>
          <t>المشتريات اليومية</t>
        </is>
      </c>
    </row>
    <row r="3">
      <c r="A3" s="33" t="inlineStr">
        <is>
          <t>التاريخ</t>
        </is>
      </c>
      <c r="B3" s="33" t="inlineStr">
        <is>
          <t>اليوم</t>
        </is>
      </c>
      <c r="C3" s="33" t="inlineStr">
        <is>
          <t>اسم الصنف</t>
        </is>
      </c>
      <c r="D3" s="33" t="inlineStr">
        <is>
          <t>اسم المورد</t>
        </is>
      </c>
      <c r="E3" s="33" t="inlineStr">
        <is>
          <t>الكمية</t>
        </is>
      </c>
      <c r="F3" s="33" t="inlineStr">
        <is>
          <t>سعر الوحدة</t>
        </is>
      </c>
      <c r="G3" s="33" t="inlineStr">
        <is>
          <t>الإجمالي</t>
        </is>
      </c>
      <c r="H3" s="33" t="inlineStr">
        <is>
          <t>المدفوع</t>
        </is>
      </c>
      <c r="I3" s="33" t="inlineStr">
        <is>
          <t>المتبقي</t>
        </is>
      </c>
      <c r="J3" s="33" t="inlineStr">
        <is>
          <t>ملاحظات</t>
        </is>
      </c>
    </row>
    <row r="4">
      <c r="A4" s="34" t="n"/>
      <c r="B4">
        <f>IF(A4="","",TEXT(A4,"dddd"))</f>
        <v/>
      </c>
      <c r="E4" s="2" t="n"/>
      <c r="F4" s="2" t="n"/>
      <c r="G4" s="2">
        <f>IF(E4*F4=0,0,E4*F4)</f>
        <v/>
      </c>
      <c r="H4" s="2" t="n"/>
      <c r="I4" s="2">
        <f>IF(G4=0,0,G4-H4)</f>
        <v/>
      </c>
    </row>
    <row r="5">
      <c r="A5" s="34" t="n"/>
      <c r="B5">
        <f>IF(A5="","",TEXT(A5,"dddd"))</f>
        <v/>
      </c>
      <c r="E5" s="2" t="n"/>
      <c r="F5" s="2" t="n"/>
      <c r="G5" s="2">
        <f>IF(E5*F5=0,0,E5*F5)</f>
        <v/>
      </c>
      <c r="H5" s="2" t="n"/>
      <c r="I5" s="2">
        <f>IF(G5=0,0,G5-H5)</f>
        <v/>
      </c>
    </row>
    <row r="6">
      <c r="A6" s="34" t="n"/>
      <c r="B6">
        <f>IF(A6="","",TEXT(A6,"dddd"))</f>
        <v/>
      </c>
      <c r="E6" s="2" t="n"/>
      <c r="F6" s="2" t="n"/>
      <c r="G6" s="2">
        <f>IF(E6*F6=0,0,E6*F6)</f>
        <v/>
      </c>
      <c r="H6" s="2" t="n"/>
      <c r="I6" s="2">
        <f>IF(G6=0,0,G6-H6)</f>
        <v/>
      </c>
    </row>
    <row r="7">
      <c r="A7" s="34" t="n"/>
      <c r="B7">
        <f>IF(A7="","",TEXT(A7,"dddd"))</f>
        <v/>
      </c>
      <c r="E7" s="2" t="n"/>
      <c r="F7" s="2" t="n"/>
      <c r="G7" s="2">
        <f>IF(E7*F7=0,0,E7*F7)</f>
        <v/>
      </c>
      <c r="H7" s="2" t="n"/>
      <c r="I7" s="2">
        <f>IF(G7=0,0,G7-H7)</f>
        <v/>
      </c>
    </row>
    <row r="8">
      <c r="A8" s="34" t="n"/>
      <c r="B8">
        <f>IF(A8="","",TEXT(A8,"dddd"))</f>
        <v/>
      </c>
      <c r="E8" s="2" t="n"/>
      <c r="F8" s="2" t="n"/>
      <c r="G8" s="2">
        <f>IF(E8*F8=0,0,E8*F8)</f>
        <v/>
      </c>
      <c r="H8" s="2" t="n"/>
      <c r="I8" s="2">
        <f>IF(G8=0,0,G8-H8)</f>
        <v/>
      </c>
    </row>
    <row r="9">
      <c r="A9" s="34" t="n"/>
      <c r="B9">
        <f>IF(A9="","",TEXT(A9,"dddd"))</f>
        <v/>
      </c>
      <c r="E9" s="2" t="n"/>
      <c r="F9" s="2" t="n"/>
      <c r="G9" s="2">
        <f>IF(E9*F9=0,0,E9*F9)</f>
        <v/>
      </c>
      <c r="H9" s="2" t="n"/>
      <c r="I9" s="2">
        <f>IF(G9=0,0,G9-H9)</f>
        <v/>
      </c>
    </row>
    <row r="10">
      <c r="A10" s="34" t="n"/>
      <c r="B10">
        <f>IF(A10="","",TEXT(A10,"dddd"))</f>
        <v/>
      </c>
      <c r="E10" s="2" t="n"/>
      <c r="F10" s="2" t="n"/>
      <c r="G10" s="2">
        <f>IF(E10*F10=0,0,E10*F10)</f>
        <v/>
      </c>
      <c r="H10" s="2" t="n"/>
      <c r="I10" s="2">
        <f>IF(G10=0,0,G10-H10)</f>
        <v/>
      </c>
    </row>
    <row r="11">
      <c r="A11" s="34" t="n"/>
      <c r="B11">
        <f>IF(A11="","",TEXT(A11,"dddd"))</f>
        <v/>
      </c>
      <c r="E11" s="2" t="n"/>
      <c r="F11" s="2" t="n"/>
      <c r="G11" s="2">
        <f>IF(E11*F11=0,0,E11*F11)</f>
        <v/>
      </c>
      <c r="H11" s="2" t="n"/>
      <c r="I11" s="2">
        <f>IF(G11=0,0,G11-H11)</f>
        <v/>
      </c>
    </row>
    <row r="12">
      <c r="A12" s="34" t="n"/>
      <c r="B12">
        <f>IF(A12="","",TEXT(A12,"dddd"))</f>
        <v/>
      </c>
      <c r="E12" s="2" t="n"/>
      <c r="F12" s="2" t="n"/>
      <c r="G12" s="2">
        <f>IF(E12*F12=0,0,E12*F12)</f>
        <v/>
      </c>
      <c r="H12" s="2" t="n"/>
      <c r="I12" s="2">
        <f>IF(G12=0,0,G12-H12)</f>
        <v/>
      </c>
    </row>
    <row r="13">
      <c r="A13" s="34" t="n"/>
      <c r="B13">
        <f>IF(A13="","",TEXT(A13,"dddd"))</f>
        <v/>
      </c>
      <c r="E13" s="2" t="n"/>
      <c r="F13" s="2" t="n"/>
      <c r="G13" s="2">
        <f>IF(E13*F13=0,0,E13*F13)</f>
        <v/>
      </c>
      <c r="H13" s="2" t="n"/>
      <c r="I13" s="2">
        <f>IF(G13=0,0,G13-H13)</f>
        <v/>
      </c>
    </row>
    <row r="14">
      <c r="A14" s="34" t="n"/>
      <c r="B14">
        <f>IF(A14="","",TEXT(A14,"dddd"))</f>
        <v/>
      </c>
      <c r="E14" s="2" t="n"/>
      <c r="F14" s="2" t="n"/>
      <c r="G14" s="2">
        <f>IF(E14*F14=0,0,E14*F14)</f>
        <v/>
      </c>
      <c r="H14" s="2" t="n"/>
      <c r="I14" s="2">
        <f>IF(G14=0,0,G14-H14)</f>
        <v/>
      </c>
    </row>
    <row r="15">
      <c r="A15" s="34" t="n"/>
      <c r="B15">
        <f>IF(A15="","",TEXT(A15,"dddd"))</f>
        <v/>
      </c>
      <c r="E15" s="2" t="n"/>
      <c r="F15" s="2" t="n"/>
      <c r="G15" s="2">
        <f>IF(E15*F15=0,0,E15*F15)</f>
        <v/>
      </c>
      <c r="H15" s="2" t="n"/>
      <c r="I15" s="2">
        <f>IF(G15=0,0,G15-H15)</f>
        <v/>
      </c>
    </row>
    <row r="16">
      <c r="A16" s="34" t="n"/>
      <c r="B16">
        <f>IF(A16="","",TEXT(A16,"dddd"))</f>
        <v/>
      </c>
      <c r="E16" s="2" t="n"/>
      <c r="F16" s="2" t="n"/>
      <c r="G16" s="2">
        <f>IF(E16*F16=0,0,E16*F16)</f>
        <v/>
      </c>
      <c r="H16" s="2" t="n"/>
      <c r="I16" s="2">
        <f>IF(G16=0,0,G16-H16)</f>
        <v/>
      </c>
    </row>
    <row r="17">
      <c r="A17" s="34" t="n"/>
      <c r="B17">
        <f>IF(A17="","",TEXT(A17,"dddd"))</f>
        <v/>
      </c>
      <c r="E17" s="2" t="n"/>
      <c r="F17" s="2" t="n"/>
      <c r="G17" s="2">
        <f>IF(E17*F17=0,0,E17*F17)</f>
        <v/>
      </c>
      <c r="H17" s="2" t="n"/>
      <c r="I17" s="2">
        <f>IF(G17=0,0,G17-H17)</f>
        <v/>
      </c>
    </row>
    <row r="18">
      <c r="A18" s="34" t="n"/>
      <c r="B18">
        <f>IF(A18="","",TEXT(A18,"dddd"))</f>
        <v/>
      </c>
      <c r="E18" s="2" t="n"/>
      <c r="F18" s="2" t="n"/>
      <c r="G18" s="2">
        <f>IF(E18*F18=0,0,E18*F18)</f>
        <v/>
      </c>
      <c r="H18" s="2" t="n"/>
      <c r="I18" s="2">
        <f>IF(G18=0,0,G18-H18)</f>
        <v/>
      </c>
    </row>
    <row r="19">
      <c r="A19" s="34" t="n"/>
      <c r="B19">
        <f>IF(A19="","",TEXT(A19,"dddd"))</f>
        <v/>
      </c>
      <c r="E19" s="2" t="n"/>
      <c r="F19" s="2" t="n"/>
      <c r="G19" s="2">
        <f>IF(E19*F19=0,0,E19*F19)</f>
        <v/>
      </c>
      <c r="H19" s="2" t="n"/>
      <c r="I19" s="2">
        <f>IF(G19=0,0,G19-H19)</f>
        <v/>
      </c>
    </row>
    <row r="20">
      <c r="A20" s="34" t="n"/>
      <c r="B20">
        <f>IF(A20="","",TEXT(A20,"dddd"))</f>
        <v/>
      </c>
      <c r="E20" s="2" t="n"/>
      <c r="F20" s="2" t="n"/>
      <c r="G20" s="2">
        <f>IF(E20*F20=0,0,E20*F20)</f>
        <v/>
      </c>
      <c r="H20" s="2" t="n"/>
      <c r="I20" s="2">
        <f>IF(G20=0,0,G20-H20)</f>
        <v/>
      </c>
    </row>
    <row r="21">
      <c r="A21" s="34" t="n"/>
      <c r="B21">
        <f>IF(A21="","",TEXT(A21,"dddd"))</f>
        <v/>
      </c>
      <c r="E21" s="2" t="n"/>
      <c r="F21" s="2" t="n"/>
      <c r="G21" s="2">
        <f>IF(E21*F21=0,0,E21*F21)</f>
        <v/>
      </c>
      <c r="H21" s="2" t="n"/>
      <c r="I21" s="2">
        <f>IF(G21=0,0,G21-H21)</f>
        <v/>
      </c>
    </row>
    <row r="22">
      <c r="A22" s="34" t="n"/>
      <c r="B22">
        <f>IF(A22="","",TEXT(A22,"dddd"))</f>
        <v/>
      </c>
      <c r="E22" s="2" t="n"/>
      <c r="F22" s="2" t="n"/>
      <c r="G22" s="2">
        <f>IF(E22*F22=0,0,E22*F22)</f>
        <v/>
      </c>
      <c r="H22" s="2" t="n"/>
      <c r="I22" s="2">
        <f>IF(G22=0,0,G22-H22)</f>
        <v/>
      </c>
    </row>
    <row r="23">
      <c r="A23" s="34" t="n"/>
      <c r="B23">
        <f>IF(A23="","",TEXT(A23,"dddd"))</f>
        <v/>
      </c>
      <c r="E23" s="2" t="n"/>
      <c r="F23" s="2" t="n"/>
      <c r="G23" s="2">
        <f>IF(E23*F23=0,0,E23*F23)</f>
        <v/>
      </c>
      <c r="H23" s="2" t="n"/>
      <c r="I23" s="2">
        <f>IF(G23=0,0,G23-H23)</f>
        <v/>
      </c>
    </row>
    <row r="24">
      <c r="A24" s="34" t="n"/>
      <c r="B24">
        <f>IF(A24="","",TEXT(A24,"dddd"))</f>
        <v/>
      </c>
      <c r="E24" s="2" t="n"/>
      <c r="F24" s="2" t="n"/>
      <c r="G24" s="2">
        <f>IF(E24*F24=0,0,E24*F24)</f>
        <v/>
      </c>
      <c r="H24" s="2" t="n"/>
      <c r="I24" s="2">
        <f>IF(G24=0,0,G24-H24)</f>
        <v/>
      </c>
    </row>
    <row r="25">
      <c r="A25" s="34" t="n"/>
      <c r="B25">
        <f>IF(A25="","",TEXT(A25,"dddd"))</f>
        <v/>
      </c>
      <c r="E25" s="2" t="n"/>
      <c r="F25" s="2" t="n"/>
      <c r="G25" s="2">
        <f>IF(E25*F25=0,0,E25*F25)</f>
        <v/>
      </c>
      <c r="H25" s="2" t="n"/>
      <c r="I25" s="2">
        <f>IF(G25=0,0,G25-H25)</f>
        <v/>
      </c>
    </row>
    <row r="26">
      <c r="A26" s="34" t="n"/>
      <c r="B26">
        <f>IF(A26="","",TEXT(A26,"dddd"))</f>
        <v/>
      </c>
      <c r="E26" s="2" t="n"/>
      <c r="F26" s="2" t="n"/>
      <c r="G26" s="2">
        <f>IF(E26*F26=0,0,E26*F26)</f>
        <v/>
      </c>
      <c r="H26" s="2" t="n"/>
      <c r="I26" s="2">
        <f>IF(G26=0,0,G26-H26)</f>
        <v/>
      </c>
    </row>
    <row r="27">
      <c r="A27" s="34" t="n"/>
      <c r="B27">
        <f>IF(A27="","",TEXT(A27,"dddd"))</f>
        <v/>
      </c>
      <c r="E27" s="2" t="n"/>
      <c r="F27" s="2" t="n"/>
      <c r="G27" s="2">
        <f>IF(E27*F27=0,0,E27*F27)</f>
        <v/>
      </c>
      <c r="H27" s="2" t="n"/>
      <c r="I27" s="2">
        <f>IF(G27=0,0,G27-H27)</f>
        <v/>
      </c>
    </row>
    <row r="28">
      <c r="A28" s="34" t="n"/>
      <c r="B28">
        <f>IF(A28="","",TEXT(A28,"dddd"))</f>
        <v/>
      </c>
      <c r="E28" s="2" t="n"/>
      <c r="F28" s="2" t="n"/>
      <c r="G28" s="2">
        <f>IF(E28*F28=0,0,E28*F28)</f>
        <v/>
      </c>
      <c r="H28" s="2" t="n"/>
      <c r="I28" s="2">
        <f>IF(G28=0,0,G28-H28)</f>
        <v/>
      </c>
    </row>
    <row r="29">
      <c r="A29" s="34" t="n"/>
      <c r="B29">
        <f>IF(A29="","",TEXT(A29,"dddd"))</f>
        <v/>
      </c>
      <c r="E29" s="2" t="n"/>
      <c r="F29" s="2" t="n"/>
      <c r="G29" s="2">
        <f>IF(E29*F29=0,0,E29*F29)</f>
        <v/>
      </c>
      <c r="H29" s="2" t="n"/>
      <c r="I29" s="2">
        <f>IF(G29=0,0,G29-H29)</f>
        <v/>
      </c>
    </row>
    <row r="30">
      <c r="A30" s="34" t="n"/>
      <c r="B30">
        <f>IF(A30="","",TEXT(A30,"dddd"))</f>
        <v/>
      </c>
      <c r="E30" s="2" t="n"/>
      <c r="F30" s="2" t="n"/>
      <c r="G30" s="2">
        <f>IF(E30*F30=0,0,E30*F30)</f>
        <v/>
      </c>
      <c r="H30" s="2" t="n"/>
      <c r="I30" s="2">
        <f>IF(G30=0,0,G30-H30)</f>
        <v/>
      </c>
    </row>
    <row r="31">
      <c r="A31" s="34" t="n"/>
      <c r="B31">
        <f>IF(A31="","",TEXT(A31,"dddd"))</f>
        <v/>
      </c>
      <c r="E31" s="2" t="n"/>
      <c r="F31" s="2" t="n"/>
      <c r="G31" s="2">
        <f>IF(E31*F31=0,0,E31*F31)</f>
        <v/>
      </c>
      <c r="H31" s="2" t="n"/>
      <c r="I31" s="2">
        <f>IF(G31=0,0,G31-H31)</f>
        <v/>
      </c>
    </row>
    <row r="32">
      <c r="A32" s="34" t="n"/>
      <c r="B32">
        <f>IF(A32="","",TEXT(A32,"dddd"))</f>
        <v/>
      </c>
      <c r="E32" s="2" t="n"/>
      <c r="F32" s="2" t="n"/>
      <c r="G32" s="2">
        <f>IF(E32*F32=0,0,E32*F32)</f>
        <v/>
      </c>
      <c r="H32" s="2" t="n"/>
      <c r="I32" s="2">
        <f>IF(G32=0,0,G32-H32)</f>
        <v/>
      </c>
    </row>
    <row r="33">
      <c r="A33" s="34" t="n"/>
      <c r="B33">
        <f>IF(A33="","",TEXT(A33,"dddd"))</f>
        <v/>
      </c>
      <c r="E33" s="2" t="n"/>
      <c r="F33" s="2" t="n"/>
      <c r="G33" s="2">
        <f>IF(E33*F33=0,0,E33*F33)</f>
        <v/>
      </c>
      <c r="H33" s="2" t="n"/>
      <c r="I33" s="2">
        <f>IF(G33=0,0,G33-H33)</f>
        <v/>
      </c>
    </row>
    <row r="34">
      <c r="A34" s="34" t="n"/>
      <c r="B34">
        <f>IF(A34="","",TEXT(A34,"dddd"))</f>
        <v/>
      </c>
      <c r="E34" s="2" t="n"/>
      <c r="F34" s="2" t="n"/>
      <c r="G34" s="2">
        <f>IF(E34*F34=0,0,E34*F34)</f>
        <v/>
      </c>
      <c r="H34" s="2" t="n"/>
      <c r="I34" s="2">
        <f>IF(G34=0,0,G34-H34)</f>
        <v/>
      </c>
    </row>
    <row r="35">
      <c r="A35" s="34" t="n"/>
      <c r="B35">
        <f>IF(A35="","",TEXT(A35,"dddd"))</f>
        <v/>
      </c>
      <c r="E35" s="2" t="n"/>
      <c r="F35" s="2" t="n"/>
      <c r="G35" s="2">
        <f>IF(E35*F35=0,0,E35*F35)</f>
        <v/>
      </c>
      <c r="H35" s="2" t="n"/>
      <c r="I35" s="2">
        <f>IF(G35=0,0,G35-H35)</f>
        <v/>
      </c>
    </row>
    <row r="36">
      <c r="A36" s="34" t="n"/>
      <c r="B36">
        <f>IF(A36="","",TEXT(A36,"dddd"))</f>
        <v/>
      </c>
      <c r="E36" s="2" t="n"/>
      <c r="F36" s="2" t="n"/>
      <c r="G36" s="2">
        <f>IF(E36*F36=0,0,E36*F36)</f>
        <v/>
      </c>
      <c r="H36" s="2" t="n"/>
      <c r="I36" s="2">
        <f>IF(G36=0,0,G36-H36)</f>
        <v/>
      </c>
    </row>
    <row r="37">
      <c r="A37" s="34" t="n"/>
      <c r="B37">
        <f>IF(A37="","",TEXT(A37,"dddd"))</f>
        <v/>
      </c>
      <c r="E37" s="2" t="n"/>
      <c r="F37" s="2" t="n"/>
      <c r="G37" s="2">
        <f>IF(E37*F37=0,0,E37*F37)</f>
        <v/>
      </c>
      <c r="H37" s="2" t="n"/>
      <c r="I37" s="2">
        <f>IF(G37=0,0,G37-H37)</f>
        <v/>
      </c>
    </row>
    <row r="38">
      <c r="A38" s="34" t="n"/>
      <c r="B38">
        <f>IF(A38="","",TEXT(A38,"dddd"))</f>
        <v/>
      </c>
      <c r="E38" s="2" t="n"/>
      <c r="F38" s="2" t="n"/>
      <c r="G38" s="2">
        <f>IF(E38*F38=0,0,E38*F38)</f>
        <v/>
      </c>
      <c r="H38" s="2" t="n"/>
      <c r="I38" s="2">
        <f>IF(G38=0,0,G38-H38)</f>
        <v/>
      </c>
    </row>
    <row r="39">
      <c r="A39" s="34" t="n"/>
      <c r="B39">
        <f>IF(A39="","",TEXT(A39,"dddd"))</f>
        <v/>
      </c>
      <c r="E39" s="2" t="n"/>
      <c r="F39" s="2" t="n"/>
      <c r="G39" s="2">
        <f>IF(E39*F39=0,0,E39*F39)</f>
        <v/>
      </c>
      <c r="H39" s="2" t="n"/>
      <c r="I39" s="2">
        <f>IF(G39=0,0,G39-H39)</f>
        <v/>
      </c>
    </row>
    <row r="40">
      <c r="A40" s="34" t="n"/>
      <c r="B40">
        <f>IF(A40="","",TEXT(A40,"dddd"))</f>
        <v/>
      </c>
      <c r="E40" s="2" t="n"/>
      <c r="F40" s="2" t="n"/>
      <c r="G40" s="2">
        <f>IF(E40*F40=0,0,E40*F40)</f>
        <v/>
      </c>
      <c r="H40" s="2" t="n"/>
      <c r="I40" s="2">
        <f>IF(G40=0,0,G40-H40)</f>
        <v/>
      </c>
    </row>
    <row r="41">
      <c r="A41" s="34" t="n"/>
      <c r="B41">
        <f>IF(A41="","",TEXT(A41,"dddd"))</f>
        <v/>
      </c>
      <c r="E41" s="2" t="n"/>
      <c r="F41" s="2" t="n"/>
      <c r="G41" s="2">
        <f>IF(E41*F41=0,0,E41*F41)</f>
        <v/>
      </c>
      <c r="H41" s="2" t="n"/>
      <c r="I41" s="2">
        <f>IF(G41=0,0,G41-H41)</f>
        <v/>
      </c>
    </row>
    <row r="42">
      <c r="A42" s="34" t="n"/>
      <c r="B42">
        <f>IF(A42="","",TEXT(A42,"dddd"))</f>
        <v/>
      </c>
      <c r="E42" s="2" t="n"/>
      <c r="F42" s="2" t="n"/>
      <c r="G42" s="2">
        <f>IF(E42*F42=0,0,E42*F42)</f>
        <v/>
      </c>
      <c r="H42" s="2" t="n"/>
      <c r="I42" s="2">
        <f>IF(G42=0,0,G42-H42)</f>
        <v/>
      </c>
    </row>
    <row r="43">
      <c r="A43" s="34" t="n"/>
      <c r="B43">
        <f>IF(A43="","",TEXT(A43,"dddd"))</f>
        <v/>
      </c>
      <c r="E43" s="2" t="n"/>
      <c r="F43" s="2" t="n"/>
      <c r="G43" s="2">
        <f>IF(E43*F43=0,0,E43*F43)</f>
        <v/>
      </c>
      <c r="H43" s="2" t="n"/>
      <c r="I43" s="2">
        <f>IF(G43=0,0,G43-H43)</f>
        <v/>
      </c>
    </row>
    <row r="44">
      <c r="A44" s="34" t="n"/>
      <c r="B44">
        <f>IF(A44="","",TEXT(A44,"dddd"))</f>
        <v/>
      </c>
      <c r="E44" s="2" t="n"/>
      <c r="F44" s="2" t="n"/>
      <c r="G44" s="2">
        <f>IF(E44*F44=0,0,E44*F44)</f>
        <v/>
      </c>
      <c r="H44" s="2" t="n"/>
      <c r="I44" s="2">
        <f>IF(G44=0,0,G44-H44)</f>
        <v/>
      </c>
    </row>
    <row r="45">
      <c r="A45" s="34" t="n"/>
      <c r="B45">
        <f>IF(A45="","",TEXT(A45,"dddd"))</f>
        <v/>
      </c>
      <c r="E45" s="2" t="n"/>
      <c r="F45" s="2" t="n"/>
      <c r="G45" s="2">
        <f>IF(E45*F45=0,0,E45*F45)</f>
        <v/>
      </c>
      <c r="H45" s="2" t="n"/>
      <c r="I45" s="2">
        <f>IF(G45=0,0,G45-H45)</f>
        <v/>
      </c>
    </row>
    <row r="46">
      <c r="A46" s="34" t="n"/>
      <c r="B46">
        <f>IF(A46="","",TEXT(A46,"dddd"))</f>
        <v/>
      </c>
      <c r="E46" s="2" t="n"/>
      <c r="F46" s="2" t="n"/>
      <c r="G46" s="2">
        <f>IF(E46*F46=0,0,E46*F46)</f>
        <v/>
      </c>
      <c r="H46" s="2" t="n"/>
      <c r="I46" s="2">
        <f>IF(G46=0,0,G46-H46)</f>
        <v/>
      </c>
    </row>
    <row r="47">
      <c r="A47" s="34" t="n"/>
      <c r="B47">
        <f>IF(A47="","",TEXT(A47,"dddd"))</f>
        <v/>
      </c>
      <c r="E47" s="2" t="n"/>
      <c r="F47" s="2" t="n"/>
      <c r="G47" s="2">
        <f>IF(E47*F47=0,0,E47*F47)</f>
        <v/>
      </c>
      <c r="H47" s="2" t="n"/>
      <c r="I47" s="2">
        <f>IF(G47=0,0,G47-H47)</f>
        <v/>
      </c>
    </row>
    <row r="48">
      <c r="A48" s="34" t="n"/>
      <c r="B48">
        <f>IF(A48="","",TEXT(A48,"dddd"))</f>
        <v/>
      </c>
      <c r="E48" s="2" t="n"/>
      <c r="F48" s="2" t="n"/>
      <c r="G48" s="2">
        <f>IF(E48*F48=0,0,E48*F48)</f>
        <v/>
      </c>
      <c r="H48" s="2" t="n"/>
      <c r="I48" s="2">
        <f>IF(G48=0,0,G48-H48)</f>
        <v/>
      </c>
    </row>
    <row r="49">
      <c r="A49" s="34" t="n"/>
      <c r="B49">
        <f>IF(A49="","",TEXT(A49,"dddd"))</f>
        <v/>
      </c>
      <c r="E49" s="2" t="n"/>
      <c r="F49" s="2" t="n"/>
      <c r="G49" s="2">
        <f>IF(E49*F49=0,0,E49*F49)</f>
        <v/>
      </c>
      <c r="H49" s="2" t="n"/>
      <c r="I49" s="2">
        <f>IF(G49=0,0,G49-H49)</f>
        <v/>
      </c>
    </row>
    <row r="50">
      <c r="A50" s="34" t="n"/>
      <c r="B50">
        <f>IF(A50="","",TEXT(A50,"dddd"))</f>
        <v/>
      </c>
      <c r="E50" s="2" t="n"/>
      <c r="F50" s="2" t="n"/>
      <c r="G50" s="2">
        <f>IF(E50*F50=0,0,E50*F50)</f>
        <v/>
      </c>
      <c r="H50" s="2" t="n"/>
      <c r="I50" s="2">
        <f>IF(G50=0,0,G50-H50)</f>
        <v/>
      </c>
    </row>
    <row r="51">
      <c r="A51" s="34" t="n"/>
      <c r="B51">
        <f>IF(A51="","",TEXT(A51,"dddd"))</f>
        <v/>
      </c>
      <c r="E51" s="2" t="n"/>
      <c r="F51" s="2" t="n"/>
      <c r="G51" s="2">
        <f>IF(E51*F51=0,0,E51*F51)</f>
        <v/>
      </c>
      <c r="H51" s="2" t="n"/>
      <c r="I51" s="2">
        <f>IF(G51=0,0,G51-H51)</f>
        <v/>
      </c>
    </row>
    <row r="52">
      <c r="A52" s="34" t="n"/>
      <c r="B52">
        <f>IF(A52="","",TEXT(A52,"dddd"))</f>
        <v/>
      </c>
      <c r="E52" s="2" t="n"/>
      <c r="F52" s="2" t="n"/>
      <c r="G52" s="2">
        <f>IF(E52*F52=0,0,E52*F52)</f>
        <v/>
      </c>
      <c r="H52" s="2" t="n"/>
      <c r="I52" s="2">
        <f>IF(G52=0,0,G52-H52)</f>
        <v/>
      </c>
    </row>
    <row r="53">
      <c r="A53" s="34" t="n"/>
      <c r="B53">
        <f>IF(A53="","",TEXT(A53,"dddd"))</f>
        <v/>
      </c>
      <c r="E53" s="2" t="n"/>
      <c r="F53" s="2" t="n"/>
      <c r="G53" s="2">
        <f>IF(E53*F53=0,0,E53*F53)</f>
        <v/>
      </c>
      <c r="H53" s="2" t="n"/>
      <c r="I53" s="2">
        <f>IF(G53=0,0,G53-H53)</f>
        <v/>
      </c>
    </row>
    <row r="55">
      <c r="A55" s="35" t="inlineStr">
        <is>
          <t>الإجمالي</t>
        </is>
      </c>
      <c r="B55" s="36" t="n"/>
      <c r="C55" s="36" t="n"/>
      <c r="D55" s="36" t="n"/>
      <c r="E55" s="37">
        <f>SUM(E4:E53)</f>
        <v/>
      </c>
      <c r="F55" s="36" t="n"/>
      <c r="G55" s="37">
        <f>SUM(G4:G53)</f>
        <v/>
      </c>
      <c r="H55" s="37">
        <f>SUM(H4:H53)</f>
        <v/>
      </c>
      <c r="I55" s="37">
        <f>SUM(I4:I53)</f>
        <v/>
      </c>
      <c r="J55" s="36" t="n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6B6B"/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4" customWidth="1" style="24" min="1" max="1"/>
    <col width="25" customWidth="1" style="24" min="2" max="2"/>
    <col width="18" customWidth="1" style="24" min="3" max="3"/>
    <col width="14" customWidth="1" style="24" min="4" max="4"/>
    <col width="20" customWidth="1" style="24" min="5" max="5"/>
  </cols>
  <sheetData>
    <row r="1">
      <c r="A1" s="32" t="inlineStr">
        <is>
          <t>المصروفات التشغيلية</t>
        </is>
      </c>
    </row>
    <row r="3">
      <c r="A3" s="33" t="inlineStr">
        <is>
          <t>التاريخ</t>
        </is>
      </c>
      <c r="B3" s="33" t="inlineStr">
        <is>
          <t>البيان</t>
        </is>
      </c>
      <c r="C3" s="33" t="inlineStr">
        <is>
          <t>الفئة</t>
        </is>
      </c>
      <c r="D3" s="33" t="inlineStr">
        <is>
          <t>المبلغ</t>
        </is>
      </c>
      <c r="E3" s="33" t="inlineStr">
        <is>
          <t>ملاحظات</t>
        </is>
      </c>
    </row>
    <row r="4">
      <c r="A4" s="34" t="n"/>
      <c r="D4" s="2" t="n"/>
    </row>
    <row r="5">
      <c r="A5" s="34" t="n"/>
      <c r="C5" t="inlineStr">
        <is>
          <t>إيجار</t>
        </is>
      </c>
      <c r="D5" s="2" t="n"/>
    </row>
    <row r="6">
      <c r="A6" s="34" t="n"/>
      <c r="C6" t="inlineStr">
        <is>
          <t>كهرباء</t>
        </is>
      </c>
      <c r="D6" s="2" t="n"/>
    </row>
    <row r="7">
      <c r="A7" s="34" t="n"/>
      <c r="C7" t="inlineStr">
        <is>
          <t>مياه</t>
        </is>
      </c>
      <c r="D7" s="2" t="n"/>
    </row>
    <row r="8">
      <c r="A8" s="34" t="n"/>
      <c r="C8" t="inlineStr">
        <is>
          <t>غاز</t>
        </is>
      </c>
      <c r="D8" s="2" t="n"/>
    </row>
    <row r="9">
      <c r="A9" s="34" t="n"/>
      <c r="C9" t="inlineStr">
        <is>
          <t>صيانة</t>
        </is>
      </c>
      <c r="D9" s="2" t="n"/>
    </row>
    <row r="10">
      <c r="A10" s="34" t="n"/>
      <c r="C10" t="inlineStr">
        <is>
          <t>نظافة</t>
        </is>
      </c>
      <c r="D10" s="2" t="n"/>
    </row>
    <row r="11">
      <c r="A11" s="34" t="n"/>
      <c r="C11" t="inlineStr">
        <is>
          <t>دعاية وإعلان</t>
        </is>
      </c>
      <c r="D11" s="2" t="n"/>
    </row>
    <row r="12">
      <c r="A12" s="34" t="n"/>
      <c r="C12" t="inlineStr">
        <is>
          <t>تراخيص</t>
        </is>
      </c>
      <c r="D12" s="2" t="n"/>
    </row>
    <row r="13">
      <c r="A13" s="34" t="n"/>
      <c r="C13" t="inlineStr">
        <is>
          <t>تأمينات</t>
        </is>
      </c>
      <c r="D13" s="2" t="n"/>
    </row>
    <row r="14">
      <c r="A14" s="34" t="n"/>
      <c r="C14" t="inlineStr">
        <is>
          <t>أخرى</t>
        </is>
      </c>
      <c r="D14" s="2" t="n"/>
    </row>
    <row r="15">
      <c r="A15" s="34" t="n"/>
      <c r="D15" s="2" t="n"/>
    </row>
    <row r="16">
      <c r="A16" s="34" t="n"/>
      <c r="D16" s="2" t="n"/>
    </row>
    <row r="17">
      <c r="A17" s="34" t="n"/>
      <c r="D17" s="2" t="n"/>
    </row>
    <row r="18">
      <c r="A18" s="34" t="n"/>
      <c r="D18" s="2" t="n"/>
    </row>
    <row r="19">
      <c r="A19" s="34" t="n"/>
      <c r="D19" s="2" t="n"/>
    </row>
    <row r="20">
      <c r="A20" s="34" t="n"/>
      <c r="D20" s="2" t="n"/>
    </row>
    <row r="21">
      <c r="A21" s="34" t="n"/>
      <c r="D21" s="2" t="n"/>
    </row>
    <row r="22">
      <c r="A22" s="34" t="n"/>
      <c r="D22" s="2" t="n"/>
    </row>
    <row r="23">
      <c r="A23" s="34" t="n"/>
      <c r="D23" s="2" t="n"/>
    </row>
    <row r="24">
      <c r="A24" s="34" t="n"/>
      <c r="D24" s="2" t="n"/>
    </row>
    <row r="25">
      <c r="A25" s="34" t="n"/>
      <c r="D25" s="2" t="n"/>
    </row>
    <row r="26">
      <c r="A26" s="34" t="n"/>
      <c r="D26" s="2" t="n"/>
    </row>
    <row r="27">
      <c r="A27" s="34" t="n"/>
      <c r="D27" s="2" t="n"/>
    </row>
    <row r="28">
      <c r="A28" s="34" t="n"/>
      <c r="D28" s="2" t="n"/>
    </row>
    <row r="29">
      <c r="A29" s="34" t="n"/>
      <c r="D29" s="2" t="n"/>
    </row>
    <row r="30">
      <c r="A30" s="34" t="n"/>
      <c r="D30" s="2" t="n"/>
    </row>
    <row r="31">
      <c r="A31" s="34" t="n"/>
      <c r="D31" s="2" t="n"/>
    </row>
    <row r="32">
      <c r="A32" s="34" t="n"/>
      <c r="D32" s="2" t="n"/>
    </row>
    <row r="33">
      <c r="A33" s="34" t="n"/>
      <c r="D33" s="2" t="n"/>
    </row>
    <row r="34">
      <c r="A34" s="34" t="n"/>
      <c r="D34" s="2" t="n"/>
    </row>
    <row r="35">
      <c r="A35" s="34" t="n"/>
      <c r="D35" s="2" t="n"/>
    </row>
    <row r="36">
      <c r="A36" s="34" t="n"/>
      <c r="D36" s="2" t="n"/>
    </row>
    <row r="37">
      <c r="A37" s="34" t="n"/>
      <c r="D37" s="2" t="n"/>
    </row>
    <row r="38">
      <c r="A38" s="34" t="n"/>
      <c r="D38" s="2" t="n"/>
    </row>
    <row r="39">
      <c r="A39" s="34" t="n"/>
      <c r="D39" s="2" t="n"/>
    </row>
    <row r="40">
      <c r="A40" s="34" t="n"/>
      <c r="D40" s="2" t="n"/>
    </row>
    <row r="41">
      <c r="A41" s="34" t="n"/>
      <c r="D41" s="2" t="n"/>
    </row>
    <row r="42">
      <c r="A42" s="34" t="n"/>
      <c r="D42" s="2" t="n"/>
    </row>
    <row r="43">
      <c r="A43" s="34" t="n"/>
      <c r="D43" s="2" t="n"/>
    </row>
    <row r="44">
      <c r="A44" s="34" t="n"/>
      <c r="D44" s="2" t="n"/>
    </row>
    <row r="45">
      <c r="A45" s="34" t="n"/>
      <c r="D45" s="2" t="n"/>
    </row>
    <row r="46">
      <c r="A46" s="34" t="n"/>
      <c r="D46" s="2" t="n"/>
    </row>
    <row r="47">
      <c r="A47" s="34" t="n"/>
      <c r="D47" s="2" t="n"/>
    </row>
    <row r="48">
      <c r="A48" s="34" t="n"/>
      <c r="D48" s="2" t="n"/>
    </row>
    <row r="49">
      <c r="A49" s="34" t="n"/>
      <c r="D49" s="2" t="n"/>
    </row>
    <row r="50">
      <c r="A50" s="34" t="n"/>
      <c r="D50" s="2" t="n"/>
    </row>
    <row r="51">
      <c r="A51" s="34" t="n"/>
      <c r="D51" s="2" t="n"/>
    </row>
    <row r="52">
      <c r="A52" s="34" t="n"/>
      <c r="D52" s="2" t="n"/>
    </row>
    <row r="53">
      <c r="A53" s="34" t="n"/>
      <c r="D53" s="2" t="n"/>
    </row>
    <row r="55">
      <c r="A55" s="35" t="inlineStr">
        <is>
          <t>الإجمالي</t>
        </is>
      </c>
      <c r="B55" s="36" t="n"/>
      <c r="C55" s="36" t="n"/>
      <c r="D55" s="37">
        <f>SUM(D4:D53)</f>
        <v/>
      </c>
      <c r="E55" s="36" t="n"/>
    </row>
  </sheetData>
  <mergeCells count="1">
    <mergeCell ref="A1:E1"/>
  </mergeCells>
  <dataValidations count="1">
    <dataValidation sqref="C4:C53" showDropDown="0" showInputMessage="0" showErrorMessage="0" allowBlank="1" type="list">
      <formula1>إيجار,كهرباء,مياه,غاز,صيانة,نظافة,دعاية وإعلان,تراخيص,تأمينات,أخرى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69B4"/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4" customWidth="1" style="24" min="1" max="1"/>
    <col width="12" customWidth="1" style="24" min="2" max="2"/>
    <col width="16" customWidth="1" style="24" min="3" max="3"/>
    <col width="16" customWidth="1" style="24" min="4" max="4"/>
    <col width="16" customWidth="1" style="24" min="5" max="5"/>
    <col width="16" customWidth="1" style="24" min="6" max="6"/>
    <col width="20" customWidth="1" style="24" min="7" max="7"/>
  </cols>
  <sheetData>
    <row r="1">
      <c r="A1" s="32" t="inlineStr">
        <is>
          <t>تقفيلة اليوم</t>
        </is>
      </c>
    </row>
    <row r="3">
      <c r="A3" t="inlineStr">
        <is>
          <t>ايرادات اليوم</t>
        </is>
      </c>
      <c r="B3" s="2">
        <f>SUMIF('الإيرادات اليومية'!A:A,TODAY(),'الإيرادات اليومية'!G:G)</f>
        <v/>
      </c>
    </row>
    <row r="4">
      <c r="A4" t="inlineStr">
        <is>
          <t>مشتريات اليوم (نقدي)</t>
        </is>
      </c>
      <c r="B4" s="2">
        <f>SUMIFS('المشتريات اليومية'!H:H,'المشتريات اليومية'!A:A,TODAY())</f>
        <v/>
      </c>
    </row>
    <row r="5">
      <c r="A5" t="inlineStr">
        <is>
          <t>مصروفات اليوم</t>
        </is>
      </c>
      <c r="B5" s="2">
        <f>SUMIF('المصروفات'!A:A,TODAY(),'المصروفات'!D:D)</f>
        <v/>
      </c>
    </row>
    <row r="7">
      <c r="A7" s="29" t="inlineStr">
        <is>
          <t>الصافي اليوم</t>
        </is>
      </c>
      <c r="B7" s="38">
        <f>B3-B4-B5</f>
        <v/>
      </c>
    </row>
    <row r="9">
      <c r="A9" s="28" t="inlineStr">
        <is>
          <t>سجل التقفيلات اليومية</t>
        </is>
      </c>
    </row>
    <row r="10">
      <c r="A10" s="33" t="inlineStr">
        <is>
          <t>التاريخ</t>
        </is>
      </c>
      <c r="B10" s="33" t="inlineStr">
        <is>
          <t>اليوم</t>
        </is>
      </c>
      <c r="C10" s="33" t="inlineStr">
        <is>
          <t>الإيرادات</t>
        </is>
      </c>
      <c r="D10" s="33" t="inlineStr">
        <is>
          <t>المشتريات</t>
        </is>
      </c>
      <c r="E10" s="33" t="inlineStr">
        <is>
          <t>المصروفات</t>
        </is>
      </c>
      <c r="F10" s="33" t="inlineStr">
        <is>
          <t>صافي اليوم</t>
        </is>
      </c>
      <c r="G10" s="33" t="inlineStr">
        <is>
          <t>ملاحظات</t>
        </is>
      </c>
    </row>
    <row r="11">
      <c r="A11" s="34" t="n">
        <v>46174</v>
      </c>
      <c r="B11" t="inlineStr">
        <is>
          <t>الاثنين</t>
        </is>
      </c>
      <c r="C11" s="2">
        <f>SUMIF('الإيرادات اليومية'!A:A,A11,'الإيرادات اليومية'!G:G)</f>
        <v/>
      </c>
      <c r="D11" s="2">
        <f>SUMIFS('المشتريات اليومية'!H:H,'المشتريات اليومية'!A:A,A11)</f>
        <v/>
      </c>
      <c r="E11" s="2">
        <f>SUMIF('المصروفات'!A:A,A11,'المصروفات'!D:D)</f>
        <v/>
      </c>
      <c r="F11" s="2">
        <f>IF(SUM(C11:E11)=0,0,C11-D11-E11)</f>
        <v/>
      </c>
    </row>
    <row r="12">
      <c r="A12" s="34" t="n">
        <v>46175</v>
      </c>
      <c r="B12" t="inlineStr">
        <is>
          <t>الثلاثاء</t>
        </is>
      </c>
      <c r="C12" s="2">
        <f>SUMIF('الإيرادات اليومية'!A:A,A12,'الإيرادات اليومية'!G:G)</f>
        <v/>
      </c>
      <c r="D12" s="2">
        <f>SUMIFS('المشتريات اليومية'!H:H,'المشتريات اليومية'!A:A,A12)</f>
        <v/>
      </c>
      <c r="E12" s="2">
        <f>SUMIF('المصروفات'!A:A,A12,'المصروفات'!D:D)</f>
        <v/>
      </c>
      <c r="F12" s="2">
        <f>IF(SUM(C12:E12)=0,0,C12-D12-E12)</f>
        <v/>
      </c>
    </row>
    <row r="13">
      <c r="A13" s="34" t="n">
        <v>46176</v>
      </c>
      <c r="B13" t="inlineStr">
        <is>
          <t>الأربعاء</t>
        </is>
      </c>
      <c r="C13" s="2">
        <f>SUMIF('الإيرادات اليومية'!A:A,A13,'الإيرادات اليومية'!G:G)</f>
        <v/>
      </c>
      <c r="D13" s="2">
        <f>SUMIFS('المشتريات اليومية'!H:H,'المشتريات اليومية'!A:A,A13)</f>
        <v/>
      </c>
      <c r="E13" s="2">
        <f>SUMIF('المصروفات'!A:A,A13,'المصروفات'!D:D)</f>
        <v/>
      </c>
      <c r="F13" s="2">
        <f>IF(SUM(C13:E13)=0,0,C13-D13-E13)</f>
        <v/>
      </c>
    </row>
    <row r="14">
      <c r="A14" s="34" t="n">
        <v>46177</v>
      </c>
      <c r="B14" t="inlineStr">
        <is>
          <t>الخميس</t>
        </is>
      </c>
      <c r="C14" s="2">
        <f>SUMIF('الإيرادات اليومية'!A:A,A14,'الإيرادات اليومية'!G:G)</f>
        <v/>
      </c>
      <c r="D14" s="2">
        <f>SUMIFS('المشتريات اليومية'!H:H,'المشتريات اليومية'!A:A,A14)</f>
        <v/>
      </c>
      <c r="E14" s="2">
        <f>SUMIF('المصروفات'!A:A,A14,'المصروفات'!D:D)</f>
        <v/>
      </c>
      <c r="F14" s="2">
        <f>IF(SUM(C14:E14)=0,0,C14-D14-E14)</f>
        <v/>
      </c>
    </row>
    <row r="15">
      <c r="A15" s="34" t="n">
        <v>46178</v>
      </c>
      <c r="B15" t="inlineStr">
        <is>
          <t>الجمعة</t>
        </is>
      </c>
      <c r="C15" s="2">
        <f>SUMIF('الإيرادات اليومية'!A:A,A15,'الإيرادات اليومية'!G:G)</f>
        <v/>
      </c>
      <c r="D15" s="2">
        <f>SUMIFS('المشتريات اليومية'!H:H,'المشتريات اليومية'!A:A,A15)</f>
        <v/>
      </c>
      <c r="E15" s="2">
        <f>SUMIF('المصروفات'!A:A,A15,'المصروفات'!D:D)</f>
        <v/>
      </c>
      <c r="F15" s="2">
        <f>IF(SUM(C15:E15)=0,0,C15-D15-E15)</f>
        <v/>
      </c>
    </row>
    <row r="16">
      <c r="A16" s="34" t="n">
        <v>46179</v>
      </c>
      <c r="B16" t="inlineStr">
        <is>
          <t>السبت</t>
        </is>
      </c>
      <c r="C16" s="2">
        <f>SUMIF('الإيرادات اليومية'!A:A,A16,'الإيرادات اليومية'!G:G)</f>
        <v/>
      </c>
      <c r="D16" s="2">
        <f>SUMIFS('المشتريات اليومية'!H:H,'المشتريات اليومية'!A:A,A16)</f>
        <v/>
      </c>
      <c r="E16" s="2">
        <f>SUMIF('المصروفات'!A:A,A16,'المصروفات'!D:D)</f>
        <v/>
      </c>
      <c r="F16" s="2">
        <f>IF(SUM(C16:E16)=0,0,C16-D16-E16)</f>
        <v/>
      </c>
    </row>
    <row r="17">
      <c r="A17" s="34" t="n">
        <v>46180</v>
      </c>
      <c r="B17" t="inlineStr">
        <is>
          <t>الأحد</t>
        </is>
      </c>
      <c r="C17" s="2">
        <f>SUMIF('الإيرادات اليومية'!A:A,A17,'الإيرادات اليومية'!G:G)</f>
        <v/>
      </c>
      <c r="D17" s="2">
        <f>SUMIFS('المشتريات اليومية'!H:H,'المشتريات اليومية'!A:A,A17)</f>
        <v/>
      </c>
      <c r="E17" s="2">
        <f>SUMIF('المصروفات'!A:A,A17,'المصروفات'!D:D)</f>
        <v/>
      </c>
      <c r="F17" s="2">
        <f>IF(SUM(C17:E17)=0,0,C17-D17-E17)</f>
        <v/>
      </c>
    </row>
    <row r="18">
      <c r="A18" s="34" t="n">
        <v>46181</v>
      </c>
      <c r="B18" t="inlineStr">
        <is>
          <t>الاثنين</t>
        </is>
      </c>
      <c r="C18" s="2">
        <f>SUMIF('الإيرادات اليومية'!A:A,A18,'الإيرادات اليومية'!G:G)</f>
        <v/>
      </c>
      <c r="D18" s="2">
        <f>SUMIFS('المشتريات اليومية'!H:H,'المشتريات اليومية'!A:A,A18)</f>
        <v/>
      </c>
      <c r="E18" s="2">
        <f>SUMIF('المصروفات'!A:A,A18,'المصروفات'!D:D)</f>
        <v/>
      </c>
      <c r="F18" s="2">
        <f>IF(SUM(C18:E18)=0,0,C18-D18-E18)</f>
        <v/>
      </c>
    </row>
    <row r="19">
      <c r="A19" s="34" t="n">
        <v>46182</v>
      </c>
      <c r="B19" t="inlineStr">
        <is>
          <t>الثلاثاء</t>
        </is>
      </c>
      <c r="C19" s="2">
        <f>SUMIF('الإيرادات اليومية'!A:A,A19,'الإيرادات اليومية'!G:G)</f>
        <v/>
      </c>
      <c r="D19" s="2">
        <f>SUMIFS('المشتريات اليومية'!H:H,'المشتريات اليومية'!A:A,A19)</f>
        <v/>
      </c>
      <c r="E19" s="2">
        <f>SUMIF('المصروفات'!A:A,A19,'المصروفات'!D:D)</f>
        <v/>
      </c>
      <c r="F19" s="2">
        <f>IF(SUM(C19:E19)=0,0,C19-D19-E19)</f>
        <v/>
      </c>
    </row>
    <row r="20">
      <c r="A20" s="34" t="n">
        <v>46183</v>
      </c>
      <c r="B20" t="inlineStr">
        <is>
          <t>الأربعاء</t>
        </is>
      </c>
      <c r="C20" s="2">
        <f>SUMIF('الإيرادات اليومية'!A:A,A20,'الإيرادات اليومية'!G:G)</f>
        <v/>
      </c>
      <c r="D20" s="2">
        <f>SUMIFS('المشتريات اليومية'!H:H,'المشتريات اليومية'!A:A,A20)</f>
        <v/>
      </c>
      <c r="E20" s="2">
        <f>SUMIF('المصروفات'!A:A,A20,'المصروفات'!D:D)</f>
        <v/>
      </c>
      <c r="F20" s="2">
        <f>IF(SUM(C20:E20)=0,0,C20-D20-E20)</f>
        <v/>
      </c>
    </row>
    <row r="21">
      <c r="A21" s="34" t="n">
        <v>46184</v>
      </c>
      <c r="B21" t="inlineStr">
        <is>
          <t>الخميس</t>
        </is>
      </c>
      <c r="C21" s="2">
        <f>SUMIF('الإيرادات اليومية'!A:A,A21,'الإيرادات اليومية'!G:G)</f>
        <v/>
      </c>
      <c r="D21" s="2">
        <f>SUMIFS('المشتريات اليومية'!H:H,'المشتريات اليومية'!A:A,A21)</f>
        <v/>
      </c>
      <c r="E21" s="2">
        <f>SUMIF('المصروفات'!A:A,A21,'المصروفات'!D:D)</f>
        <v/>
      </c>
      <c r="F21" s="2">
        <f>IF(SUM(C21:E21)=0,0,C21-D21-E21)</f>
        <v/>
      </c>
    </row>
    <row r="22">
      <c r="A22" s="34" t="n">
        <v>46185</v>
      </c>
      <c r="B22" t="inlineStr">
        <is>
          <t>الجمعة</t>
        </is>
      </c>
      <c r="C22" s="2">
        <f>SUMIF('الإيرادات اليومية'!A:A,A22,'الإيرادات اليومية'!G:G)</f>
        <v/>
      </c>
      <c r="D22" s="2">
        <f>SUMIFS('المشتريات اليومية'!H:H,'المشتريات اليومية'!A:A,A22)</f>
        <v/>
      </c>
      <c r="E22" s="2">
        <f>SUMIF('المصروفات'!A:A,A22,'المصروفات'!D:D)</f>
        <v/>
      </c>
      <c r="F22" s="2">
        <f>IF(SUM(C22:E22)=0,0,C22-D22-E22)</f>
        <v/>
      </c>
    </row>
    <row r="23">
      <c r="A23" s="34" t="n">
        <v>46186</v>
      </c>
      <c r="B23" t="inlineStr">
        <is>
          <t>السبت</t>
        </is>
      </c>
      <c r="C23" s="2">
        <f>SUMIF('الإيرادات اليومية'!A:A,A23,'الإيرادات اليومية'!G:G)</f>
        <v/>
      </c>
      <c r="D23" s="2">
        <f>SUMIFS('المشتريات اليومية'!H:H,'المشتريات اليومية'!A:A,A23)</f>
        <v/>
      </c>
      <c r="E23" s="2">
        <f>SUMIF('المصروفات'!A:A,A23,'المصروفات'!D:D)</f>
        <v/>
      </c>
      <c r="F23" s="2">
        <f>IF(SUM(C23:E23)=0,0,C23-D23-E23)</f>
        <v/>
      </c>
    </row>
    <row r="24">
      <c r="A24" s="34" t="n">
        <v>46187</v>
      </c>
      <c r="B24" t="inlineStr">
        <is>
          <t>الأحد</t>
        </is>
      </c>
      <c r="C24" s="2">
        <f>SUMIF('الإيرادات اليومية'!A:A,A24,'الإيرادات اليومية'!G:G)</f>
        <v/>
      </c>
      <c r="D24" s="2">
        <f>SUMIFS('المشتريات اليومية'!H:H,'المشتريات اليومية'!A:A,A24)</f>
        <v/>
      </c>
      <c r="E24" s="2">
        <f>SUMIF('المصروفات'!A:A,A24,'المصروفات'!D:D)</f>
        <v/>
      </c>
      <c r="F24" s="2">
        <f>IF(SUM(C24:E24)=0,0,C24-D24-E24)</f>
        <v/>
      </c>
    </row>
    <row r="25">
      <c r="A25" s="34" t="n">
        <v>46188</v>
      </c>
      <c r="B25" t="inlineStr">
        <is>
          <t>الاثنين</t>
        </is>
      </c>
      <c r="C25" s="2">
        <f>SUMIF('الإيرادات اليومية'!A:A,A25,'الإيرادات اليومية'!G:G)</f>
        <v/>
      </c>
      <c r="D25" s="2">
        <f>SUMIFS('المشتريات اليومية'!H:H,'المشتريات اليومية'!A:A,A25)</f>
        <v/>
      </c>
      <c r="E25" s="2">
        <f>SUMIF('المصروفات'!A:A,A25,'المصروفات'!D:D)</f>
        <v/>
      </c>
      <c r="F25" s="2">
        <f>IF(SUM(C25:E25)=0,0,C25-D25-E25)</f>
        <v/>
      </c>
    </row>
    <row r="26">
      <c r="A26" s="34" t="n">
        <v>46189</v>
      </c>
      <c r="B26" t="inlineStr">
        <is>
          <t>الثلاثاء</t>
        </is>
      </c>
      <c r="C26" s="2">
        <f>SUMIF('الإيرادات اليومية'!A:A,A26,'الإيرادات اليومية'!G:G)</f>
        <v/>
      </c>
      <c r="D26" s="2">
        <f>SUMIFS('المشتريات اليومية'!H:H,'المشتريات اليومية'!A:A,A26)</f>
        <v/>
      </c>
      <c r="E26" s="2">
        <f>SUMIF('المصروفات'!A:A,A26,'المصروفات'!D:D)</f>
        <v/>
      </c>
      <c r="F26" s="2">
        <f>IF(SUM(C26:E26)=0,0,C26-D26-E26)</f>
        <v/>
      </c>
    </row>
    <row r="27">
      <c r="A27" s="34" t="n">
        <v>46190</v>
      </c>
      <c r="B27" t="inlineStr">
        <is>
          <t>الأربعاء</t>
        </is>
      </c>
      <c r="C27" s="2">
        <f>SUMIF('الإيرادات اليومية'!A:A,A27,'الإيرادات اليومية'!G:G)</f>
        <v/>
      </c>
      <c r="D27" s="2">
        <f>SUMIFS('المشتريات اليومية'!H:H,'المشتريات اليومية'!A:A,A27)</f>
        <v/>
      </c>
      <c r="E27" s="2">
        <f>SUMIF('المصروفات'!A:A,A27,'المصروفات'!D:D)</f>
        <v/>
      </c>
      <c r="F27" s="2">
        <f>IF(SUM(C27:E27)=0,0,C27-D27-E27)</f>
        <v/>
      </c>
    </row>
    <row r="28">
      <c r="A28" s="34" t="n">
        <v>46191</v>
      </c>
      <c r="B28" t="inlineStr">
        <is>
          <t>الخميس</t>
        </is>
      </c>
      <c r="C28" s="2">
        <f>SUMIF('الإيرادات اليومية'!A:A,A28,'الإيرادات اليومية'!G:G)</f>
        <v/>
      </c>
      <c r="D28" s="2">
        <f>SUMIFS('المشتريات اليومية'!H:H,'المشتريات اليومية'!A:A,A28)</f>
        <v/>
      </c>
      <c r="E28" s="2">
        <f>SUMIF('المصروفات'!A:A,A28,'المصروفات'!D:D)</f>
        <v/>
      </c>
      <c r="F28" s="2">
        <f>IF(SUM(C28:E28)=0,0,C28-D28-E28)</f>
        <v/>
      </c>
    </row>
    <row r="29">
      <c r="A29" s="34" t="n">
        <v>46192</v>
      </c>
      <c r="B29" t="inlineStr">
        <is>
          <t>الجمعة</t>
        </is>
      </c>
      <c r="C29" s="2">
        <f>SUMIF('الإيرادات اليومية'!A:A,A29,'الإيرادات اليومية'!G:G)</f>
        <v/>
      </c>
      <c r="D29" s="2">
        <f>SUMIFS('المشتريات اليومية'!H:H,'المشتريات اليومية'!A:A,A29)</f>
        <v/>
      </c>
      <c r="E29" s="2">
        <f>SUMIF('المصروفات'!A:A,A29,'المصروفات'!D:D)</f>
        <v/>
      </c>
      <c r="F29" s="2">
        <f>IF(SUM(C29:E29)=0,0,C29-D29-E29)</f>
        <v/>
      </c>
    </row>
    <row r="30">
      <c r="A30" s="34" t="n">
        <v>46193</v>
      </c>
      <c r="B30" t="inlineStr">
        <is>
          <t>السبت</t>
        </is>
      </c>
      <c r="C30" s="2">
        <f>SUMIF('الإيرادات اليومية'!A:A,A30,'الإيرادات اليومية'!G:G)</f>
        <v/>
      </c>
      <c r="D30" s="2">
        <f>SUMIFS('المشتريات اليومية'!H:H,'المشتريات اليومية'!A:A,A30)</f>
        <v/>
      </c>
      <c r="E30" s="2">
        <f>SUMIF('المصروفات'!A:A,A30,'المصروفات'!D:D)</f>
        <v/>
      </c>
      <c r="F30" s="2">
        <f>IF(SUM(C30:E30)=0,0,C30-D30-E30)</f>
        <v/>
      </c>
    </row>
    <row r="31">
      <c r="A31" s="34" t="n">
        <v>46194</v>
      </c>
      <c r="B31" t="inlineStr">
        <is>
          <t>الأحد</t>
        </is>
      </c>
      <c r="C31" s="2">
        <f>SUMIF('الإيرادات اليومية'!A:A,A31,'الإيرادات اليومية'!G:G)</f>
        <v/>
      </c>
      <c r="D31" s="2">
        <f>SUMIFS('المشتريات اليومية'!H:H,'المشتريات اليومية'!A:A,A31)</f>
        <v/>
      </c>
      <c r="E31" s="2">
        <f>SUMIF('المصروفات'!A:A,A31,'المصروفات'!D:D)</f>
        <v/>
      </c>
      <c r="F31" s="2">
        <f>IF(SUM(C31:E31)=0,0,C31-D31-E31)</f>
        <v/>
      </c>
    </row>
    <row r="32">
      <c r="A32" s="34" t="n">
        <v>46195</v>
      </c>
      <c r="B32" t="inlineStr">
        <is>
          <t>الاثنين</t>
        </is>
      </c>
      <c r="C32" s="2">
        <f>SUMIF('الإيرادات اليومية'!A:A,A32,'الإيرادات اليومية'!G:G)</f>
        <v/>
      </c>
      <c r="D32" s="2">
        <f>SUMIFS('المشتريات اليومية'!H:H,'المشتريات اليومية'!A:A,A32)</f>
        <v/>
      </c>
      <c r="E32" s="2">
        <f>SUMIF('المصروفات'!A:A,A32,'المصروفات'!D:D)</f>
        <v/>
      </c>
      <c r="F32" s="2">
        <f>IF(SUM(C32:E32)=0,0,C32-D32-E32)</f>
        <v/>
      </c>
    </row>
    <row r="33">
      <c r="A33" s="34" t="n">
        <v>46196</v>
      </c>
      <c r="B33" t="inlineStr">
        <is>
          <t>الثلاثاء</t>
        </is>
      </c>
      <c r="C33" s="2">
        <f>SUMIF('الإيرادات اليومية'!A:A,A33,'الإيرادات اليومية'!G:G)</f>
        <v/>
      </c>
      <c r="D33" s="2">
        <f>SUMIFS('المشتريات اليومية'!H:H,'المشتريات اليومية'!A:A,A33)</f>
        <v/>
      </c>
      <c r="E33" s="2">
        <f>SUMIF('المصروفات'!A:A,A33,'المصروفات'!D:D)</f>
        <v/>
      </c>
      <c r="F33" s="2">
        <f>IF(SUM(C33:E33)=0,0,C33-D33-E33)</f>
        <v/>
      </c>
    </row>
    <row r="34">
      <c r="A34" s="34" t="n">
        <v>46197</v>
      </c>
      <c r="B34" t="inlineStr">
        <is>
          <t>الأربعاء</t>
        </is>
      </c>
      <c r="C34" s="2">
        <f>SUMIF('الإيرادات اليومية'!A:A,A34,'الإيرادات اليومية'!G:G)</f>
        <v/>
      </c>
      <c r="D34" s="2">
        <f>SUMIFS('المشتريات اليومية'!H:H,'المشتريات اليومية'!A:A,A34)</f>
        <v/>
      </c>
      <c r="E34" s="2">
        <f>SUMIF('المصروفات'!A:A,A34,'المصروفات'!D:D)</f>
        <v/>
      </c>
      <c r="F34" s="2">
        <f>IF(SUM(C34:E34)=0,0,C34-D34-E34)</f>
        <v/>
      </c>
    </row>
    <row r="35">
      <c r="A35" s="34" t="n">
        <v>46198</v>
      </c>
      <c r="B35" t="inlineStr">
        <is>
          <t>الخميس</t>
        </is>
      </c>
      <c r="C35" s="2">
        <f>SUMIF('الإيرادات اليومية'!A:A,A35,'الإيرادات اليومية'!G:G)</f>
        <v/>
      </c>
      <c r="D35" s="2">
        <f>SUMIFS('المشتريات اليومية'!H:H,'المشتريات اليومية'!A:A,A35)</f>
        <v/>
      </c>
      <c r="E35" s="2">
        <f>SUMIF('المصروفات'!A:A,A35,'المصروفات'!D:D)</f>
        <v/>
      </c>
      <c r="F35" s="2">
        <f>IF(SUM(C35:E35)=0,0,C35-D35-E35)</f>
        <v/>
      </c>
    </row>
    <row r="36">
      <c r="A36" s="34" t="n">
        <v>46199</v>
      </c>
      <c r="B36" t="inlineStr">
        <is>
          <t>الجمعة</t>
        </is>
      </c>
      <c r="C36" s="2">
        <f>SUMIF('الإيرادات اليومية'!A:A,A36,'الإيرادات اليومية'!G:G)</f>
        <v/>
      </c>
      <c r="D36" s="2">
        <f>SUMIFS('المشتريات اليومية'!H:H,'المشتريات اليومية'!A:A,A36)</f>
        <v/>
      </c>
      <c r="E36" s="2">
        <f>SUMIF('المصروفات'!A:A,A36,'المصروفات'!D:D)</f>
        <v/>
      </c>
      <c r="F36" s="2">
        <f>IF(SUM(C36:E36)=0,0,C36-D36-E36)</f>
        <v/>
      </c>
    </row>
    <row r="37">
      <c r="A37" s="34" t="n">
        <v>46200</v>
      </c>
      <c r="B37" t="inlineStr">
        <is>
          <t>السبت</t>
        </is>
      </c>
      <c r="C37" s="2">
        <f>SUMIF('الإيرادات اليومية'!A:A,A37,'الإيرادات اليومية'!G:G)</f>
        <v/>
      </c>
      <c r="D37" s="2">
        <f>SUMIFS('المشتريات اليومية'!H:H,'المشتريات اليومية'!A:A,A37)</f>
        <v/>
      </c>
      <c r="E37" s="2">
        <f>SUMIF('المصروفات'!A:A,A37,'المصروفات'!D:D)</f>
        <v/>
      </c>
      <c r="F37" s="2">
        <f>IF(SUM(C37:E37)=0,0,C37-D37-E37)</f>
        <v/>
      </c>
    </row>
    <row r="38">
      <c r="A38" s="34" t="n">
        <v>46201</v>
      </c>
      <c r="B38" t="inlineStr">
        <is>
          <t>الأحد</t>
        </is>
      </c>
      <c r="C38" s="2">
        <f>SUMIF('الإيرادات اليومية'!A:A,A38,'الإيرادات اليومية'!G:G)</f>
        <v/>
      </c>
      <c r="D38" s="2">
        <f>SUMIFS('المشتريات اليومية'!H:H,'المشتريات اليومية'!A:A,A38)</f>
        <v/>
      </c>
      <c r="E38" s="2">
        <f>SUMIF('المصروفات'!A:A,A38,'المصروفات'!D:D)</f>
        <v/>
      </c>
      <c r="F38" s="2">
        <f>IF(SUM(C38:E38)=0,0,C38-D38-E38)</f>
        <v/>
      </c>
    </row>
    <row r="39">
      <c r="A39" s="34" t="n">
        <v>46202</v>
      </c>
      <c r="B39" t="inlineStr">
        <is>
          <t>الاثنين</t>
        </is>
      </c>
      <c r="C39" s="2">
        <f>SUMIF('الإيرادات اليومية'!A:A,A39,'الإيرادات اليومية'!G:G)</f>
        <v/>
      </c>
      <c r="D39" s="2">
        <f>SUMIFS('المشتريات اليومية'!H:H,'المشتريات اليومية'!A:A,A39)</f>
        <v/>
      </c>
      <c r="E39" s="2">
        <f>SUMIF('المصروفات'!A:A,A39,'المصروفات'!D:D)</f>
        <v/>
      </c>
      <c r="F39" s="2">
        <f>IF(SUM(C39:E39)=0,0,C39-D39-E39)</f>
        <v/>
      </c>
    </row>
    <row r="40">
      <c r="A40" s="34" t="n">
        <v>46203</v>
      </c>
      <c r="B40" t="inlineStr">
        <is>
          <t>الثلاثاء</t>
        </is>
      </c>
      <c r="C40" s="2">
        <f>SUMIF('الإيرادات اليومية'!A:A,A40,'الإيرادات اليومية'!G:G)</f>
        <v/>
      </c>
      <c r="D40" s="2">
        <f>SUMIFS('المشتريات اليومية'!H:H,'المشتريات اليومية'!A:A,A40)</f>
        <v/>
      </c>
      <c r="E40" s="2">
        <f>SUMIF('المصروفات'!A:A,A40,'المصروفات'!D:D)</f>
        <v/>
      </c>
      <c r="F40" s="2">
        <f>IF(SUM(C40:E40)=0,0,C40-D40-E40)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808080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6" customWidth="1" style="24" min="1" max="1"/>
    <col width="20" customWidth="1" style="24" min="2" max="2"/>
    <col width="16" customWidth="1" style="24" min="3" max="3"/>
    <col width="16" customWidth="1" style="24" min="4" max="4"/>
    <col width="12" customWidth="1" style="24" min="5" max="5"/>
    <col width="14" customWidth="1" style="24" min="6" max="6"/>
    <col width="12" customWidth="1" style="24" min="7" max="7"/>
    <col width="14" customWidth="1" style="24" min="8" max="8"/>
    <col width="14" customWidth="1" style="24" min="9" max="9"/>
  </cols>
  <sheetData>
    <row r="1">
      <c r="A1" s="32" t="inlineStr">
        <is>
          <t>جدول الرواتب</t>
        </is>
      </c>
    </row>
    <row r="3">
      <c r="C3" t="inlineStr">
        <is>
          <t>الشهر</t>
        </is>
      </c>
      <c r="D3" t="inlineStr">
        <is>
          <t>June 2026</t>
        </is>
      </c>
    </row>
    <row r="5">
      <c r="A5" s="33" t="inlineStr">
        <is>
          <t>م</t>
        </is>
      </c>
      <c r="B5" s="33" t="inlineStr">
        <is>
          <t>اسم الموظف</t>
        </is>
      </c>
      <c r="C5" s="33" t="inlineStr">
        <is>
          <t>الوظيفة</t>
        </is>
      </c>
      <c r="D5" s="33" t="inlineStr">
        <is>
          <t>الراتب الأساسي</t>
        </is>
      </c>
      <c r="E5" s="33" t="inlineStr">
        <is>
          <t>إضافي</t>
        </is>
      </c>
      <c r="F5" s="33" t="inlineStr">
        <is>
          <t>قيمة السلفة</t>
        </is>
      </c>
      <c r="G5" s="33" t="inlineStr">
        <is>
          <t>خصومات</t>
        </is>
      </c>
      <c r="H5" s="33" t="inlineStr">
        <is>
          <t>صافي الراتب</t>
        </is>
      </c>
      <c r="I5" s="33" t="inlineStr">
        <is>
          <t>التوقيع</t>
        </is>
      </c>
    </row>
    <row r="6">
      <c r="A6" t="n">
        <v>1</v>
      </c>
      <c r="C6">
        <f>IF(B6="","",IFERROR(VLOOKUP(B6,'الموظفين'!B:D,2,FALSE),""))</f>
        <v/>
      </c>
      <c r="D6" s="2" t="n"/>
      <c r="E6" s="2" t="n"/>
      <c r="F6" s="2">
        <f>IF(B6="",0,SUMIF('سلف الموظفين'!B:B,B6,'سلف الموظفين'!E:E))</f>
        <v/>
      </c>
      <c r="G6" s="2" t="n"/>
      <c r="H6" s="2">
        <f>IF(D6=0,0,D6+E6-F6-G6)</f>
        <v/>
      </c>
    </row>
    <row r="7">
      <c r="A7" t="n">
        <v>2</v>
      </c>
      <c r="C7">
        <f>IF(B7="","",IFERROR(VLOOKUP(B7,'الموظفين'!B:D,2,FALSE),""))</f>
        <v/>
      </c>
      <c r="D7" s="2" t="n"/>
      <c r="E7" s="2" t="n"/>
      <c r="F7" s="2">
        <f>IF(B7="",0,SUMIF('سلف الموظفين'!B:B,B7,'سلف الموظفين'!E:E))</f>
        <v/>
      </c>
      <c r="G7" s="2" t="n"/>
      <c r="H7" s="2">
        <f>IF(D7=0,0,D7+E7-F7-G7)</f>
        <v/>
      </c>
    </row>
    <row r="8">
      <c r="A8" t="n">
        <v>3</v>
      </c>
      <c r="C8">
        <f>IF(B8="","",IFERROR(VLOOKUP(B8,'الموظفين'!B:D,2,FALSE),""))</f>
        <v/>
      </c>
      <c r="D8" s="2" t="n"/>
      <c r="E8" s="2" t="n"/>
      <c r="F8" s="2">
        <f>IF(B8="",0,SUMIF('سلف الموظفين'!B:B,B8,'سلف الموظفين'!E:E))</f>
        <v/>
      </c>
      <c r="G8" s="2" t="n"/>
      <c r="H8" s="2">
        <f>IF(D8=0,0,D8+E8-F8-G8)</f>
        <v/>
      </c>
    </row>
    <row r="9">
      <c r="A9" t="n">
        <v>4</v>
      </c>
      <c r="C9">
        <f>IF(B9="","",IFERROR(VLOOKUP(B9,'الموظفين'!B:D,2,FALSE),""))</f>
        <v/>
      </c>
      <c r="D9" s="2" t="n"/>
      <c r="E9" s="2" t="n"/>
      <c r="F9" s="2">
        <f>IF(B9="",0,SUMIF('سلف الموظفين'!B:B,B9,'سلف الموظفين'!E:E))</f>
        <v/>
      </c>
      <c r="G9" s="2" t="n"/>
      <c r="H9" s="2">
        <f>IF(D9=0,0,D9+E9-F9-G9)</f>
        <v/>
      </c>
    </row>
    <row r="10">
      <c r="A10" t="n">
        <v>5</v>
      </c>
      <c r="C10">
        <f>IF(B10="","",IFERROR(VLOOKUP(B10,'الموظفين'!B:D,2,FALSE),""))</f>
        <v/>
      </c>
      <c r="D10" s="2" t="n"/>
      <c r="E10" s="2" t="n"/>
      <c r="F10" s="2">
        <f>IF(B10="",0,SUMIF('سلف الموظفين'!B:B,B10,'سلف الموظفين'!E:E))</f>
        <v/>
      </c>
      <c r="G10" s="2" t="n"/>
      <c r="H10" s="2">
        <f>IF(D10=0,0,D10+E10-F10-G10)</f>
        <v/>
      </c>
    </row>
    <row r="11">
      <c r="A11" t="n">
        <v>6</v>
      </c>
      <c r="C11">
        <f>IF(B11="","",IFERROR(VLOOKUP(B11,'الموظفين'!B:D,2,FALSE),""))</f>
        <v/>
      </c>
      <c r="D11" s="2" t="n"/>
      <c r="E11" s="2" t="n"/>
      <c r="F11" s="2">
        <f>IF(B11="",0,SUMIF('سلف الموظفين'!B:B,B11,'سلف الموظفين'!E:E))</f>
        <v/>
      </c>
      <c r="G11" s="2" t="n"/>
      <c r="H11" s="2">
        <f>IF(D11=0,0,D11+E11-F11-G11)</f>
        <v/>
      </c>
    </row>
    <row r="12">
      <c r="A12" t="n">
        <v>7</v>
      </c>
      <c r="C12">
        <f>IF(B12="","",IFERROR(VLOOKUP(B12,'الموظفين'!B:D,2,FALSE),""))</f>
        <v/>
      </c>
      <c r="D12" s="2" t="n"/>
      <c r="E12" s="2" t="n"/>
      <c r="F12" s="2">
        <f>IF(B12="",0,SUMIF('سلف الموظفين'!B:B,B12,'سلف الموظفين'!E:E))</f>
        <v/>
      </c>
      <c r="G12" s="2" t="n"/>
      <c r="H12" s="2">
        <f>IF(D12=0,0,D12+E12-F12-G12)</f>
        <v/>
      </c>
    </row>
    <row r="13">
      <c r="A13" t="n">
        <v>8</v>
      </c>
      <c r="C13">
        <f>IF(B13="","",IFERROR(VLOOKUP(B13,'الموظفين'!B:D,2,FALSE),""))</f>
        <v/>
      </c>
      <c r="D13" s="2" t="n"/>
      <c r="E13" s="2" t="n"/>
      <c r="F13" s="2">
        <f>IF(B13="",0,SUMIF('سلف الموظفين'!B:B,B13,'سلف الموظفين'!E:E))</f>
        <v/>
      </c>
      <c r="G13" s="2" t="n"/>
      <c r="H13" s="2">
        <f>IF(D13=0,0,D13+E13-F13-G13)</f>
        <v/>
      </c>
    </row>
    <row r="14">
      <c r="A14" t="n">
        <v>9</v>
      </c>
      <c r="C14">
        <f>IF(B14="","",IFERROR(VLOOKUP(B14,'الموظفين'!B:D,2,FALSE),""))</f>
        <v/>
      </c>
      <c r="D14" s="2" t="n"/>
      <c r="E14" s="2" t="n"/>
      <c r="F14" s="2">
        <f>IF(B14="",0,SUMIF('سلف الموظفين'!B:B,B14,'سلف الموظفين'!E:E))</f>
        <v/>
      </c>
      <c r="G14" s="2" t="n"/>
      <c r="H14" s="2">
        <f>IF(D14=0,0,D14+E14-F14-G14)</f>
        <v/>
      </c>
    </row>
    <row r="15">
      <c r="A15" t="n">
        <v>10</v>
      </c>
      <c r="C15">
        <f>IF(B15="","",IFERROR(VLOOKUP(B15,'الموظفين'!B:D,2,FALSE),""))</f>
        <v/>
      </c>
      <c r="D15" s="2" t="n"/>
      <c r="E15" s="2" t="n"/>
      <c r="F15" s="2">
        <f>IF(B15="",0,SUMIF('سلف الموظفين'!B:B,B15,'سلف الموظفين'!E:E))</f>
        <v/>
      </c>
      <c r="G15" s="2" t="n"/>
      <c r="H15" s="2">
        <f>IF(D15=0,0,D15+E15-F15-G15)</f>
        <v/>
      </c>
    </row>
    <row r="16">
      <c r="A16" t="n">
        <v>11</v>
      </c>
      <c r="C16">
        <f>IF(B16="","",IFERROR(VLOOKUP(B16,'الموظفين'!B:D,2,FALSE),""))</f>
        <v/>
      </c>
      <c r="D16" s="2" t="n"/>
      <c r="E16" s="2" t="n"/>
      <c r="F16" s="2">
        <f>IF(B16="",0,SUMIF('سلف الموظفين'!B:B,B16,'سلف الموظفين'!E:E))</f>
        <v/>
      </c>
      <c r="G16" s="2" t="n"/>
      <c r="H16" s="2">
        <f>IF(D16=0,0,D16+E16-F16-G16)</f>
        <v/>
      </c>
    </row>
    <row r="17">
      <c r="A17" t="n">
        <v>12</v>
      </c>
      <c r="C17">
        <f>IF(B17="","",IFERROR(VLOOKUP(B17,'الموظفين'!B:D,2,FALSE),""))</f>
        <v/>
      </c>
      <c r="D17" s="2" t="n"/>
      <c r="E17" s="2" t="n"/>
      <c r="F17" s="2">
        <f>IF(B17="",0,SUMIF('سلف الموظفين'!B:B,B17,'سلف الموظفين'!E:E))</f>
        <v/>
      </c>
      <c r="G17" s="2" t="n"/>
      <c r="H17" s="2">
        <f>IF(D17=0,0,D17+E17-F17-G17)</f>
        <v/>
      </c>
    </row>
    <row r="18">
      <c r="A18" t="n">
        <v>13</v>
      </c>
      <c r="C18">
        <f>IF(B18="","",IFERROR(VLOOKUP(B18,'الموظفين'!B:D,2,FALSE),""))</f>
        <v/>
      </c>
      <c r="D18" s="2" t="n"/>
      <c r="E18" s="2" t="n"/>
      <c r="F18" s="2">
        <f>IF(B18="",0,SUMIF('سلف الموظفين'!B:B,B18,'سلف الموظفين'!E:E))</f>
        <v/>
      </c>
      <c r="G18" s="2" t="n"/>
      <c r="H18" s="2">
        <f>IF(D18=0,0,D18+E18-F18-G18)</f>
        <v/>
      </c>
    </row>
    <row r="19">
      <c r="A19" t="n">
        <v>14</v>
      </c>
      <c r="C19">
        <f>IF(B19="","",IFERROR(VLOOKUP(B19,'الموظفين'!B:D,2,FALSE),""))</f>
        <v/>
      </c>
      <c r="D19" s="2" t="n"/>
      <c r="E19" s="2" t="n"/>
      <c r="F19" s="2">
        <f>IF(B19="",0,SUMIF('سلف الموظفين'!B:B,B19,'سلف الموظفين'!E:E))</f>
        <v/>
      </c>
      <c r="G19" s="2" t="n"/>
      <c r="H19" s="2">
        <f>IF(D19=0,0,D19+E19-F19-G19)</f>
        <v/>
      </c>
    </row>
    <row r="20">
      <c r="A20" t="n">
        <v>15</v>
      </c>
      <c r="C20">
        <f>IF(B20="","",IFERROR(VLOOKUP(B20,'الموظفين'!B:D,2,FALSE),""))</f>
        <v/>
      </c>
      <c r="D20" s="2" t="n"/>
      <c r="E20" s="2" t="n"/>
      <c r="F20" s="2">
        <f>IF(B20="",0,SUMIF('سلف الموظفين'!B:B,B20,'سلف الموظفين'!E:E))</f>
        <v/>
      </c>
      <c r="G20" s="2" t="n"/>
      <c r="H20" s="2">
        <f>IF(D20=0,0,D20+E20-F20-G20)</f>
        <v/>
      </c>
    </row>
    <row r="22">
      <c r="A22" s="39" t="inlineStr">
        <is>
          <t>الإجمالي</t>
        </is>
      </c>
      <c r="B22" s="40" t="n"/>
      <c r="C22" s="40" t="n"/>
      <c r="D22" s="41">
        <f>SUM(D6:D20)</f>
        <v/>
      </c>
      <c r="E22" s="41">
        <f>SUM(E6:E20)</f>
        <v/>
      </c>
      <c r="F22" s="41">
        <f>SUM(F6:F20)</f>
        <v/>
      </c>
      <c r="G22" s="41">
        <f>SUM(G6:G20)</f>
        <v/>
      </c>
      <c r="H22" s="41">
        <f>SUM(H6:H20)</f>
        <v/>
      </c>
      <c r="I22" s="40" t="n"/>
    </row>
  </sheetData>
  <mergeCells count="1">
    <mergeCell ref="A1:I1"/>
  </mergeCells>
  <dataValidations count="1">
    <dataValidation sqref="B6:B20" showDropDown="0" showInputMessage="0" showErrorMessage="0" allowBlank="1" errorTitle="خطأ" error="يرجى اختيار موظف من القائمة" type="list">
      <formula1>=الموظفين!$B$4:$B$23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style="24" min="1" max="1"/>
    <col width="20" customWidth="1" style="24" min="2" max="2"/>
    <col width="14" customWidth="1" style="24" min="3" max="3"/>
    <col width="14" customWidth="1" style="24" min="4" max="4"/>
    <col width="14" customWidth="1" style="24" min="5" max="5"/>
    <col width="14" customWidth="1" style="24" min="6" max="6"/>
    <col width="20" customWidth="1" style="24" min="7" max="7"/>
  </cols>
  <sheetData>
    <row r="1">
      <c r="A1" s="32" t="inlineStr">
        <is>
          <t>سلف الموظفين</t>
        </is>
      </c>
    </row>
    <row r="3">
      <c r="A3" s="33" t="inlineStr">
        <is>
          <t>التاريخ</t>
        </is>
      </c>
      <c r="B3" s="33" t="inlineStr">
        <is>
          <t>اسم الموظف</t>
        </is>
      </c>
      <c r="C3" s="33" t="inlineStr">
        <is>
          <t>المبلغ</t>
        </is>
      </c>
      <c r="D3" s="33" t="inlineStr">
        <is>
          <t>المبلغ المسدد</t>
        </is>
      </c>
      <c r="E3" s="33" t="inlineStr">
        <is>
          <t>المتبقي</t>
        </is>
      </c>
      <c r="F3" s="33" t="inlineStr">
        <is>
          <t>حالة السداد</t>
        </is>
      </c>
      <c r="G3" s="33" t="inlineStr">
        <is>
          <t>ملاحظات</t>
        </is>
      </c>
    </row>
    <row r="4">
      <c r="A4" s="34" t="n"/>
      <c r="C4" s="2" t="n"/>
      <c r="D4" s="2" t="n"/>
      <c r="E4" s="2">
        <f>IF(C4=0,0,C4-D4)</f>
        <v/>
      </c>
      <c r="F4">
        <f>IF(C4=0,"",IF(E4=0,"مسدد","متبقي"))</f>
        <v/>
      </c>
    </row>
    <row r="5">
      <c r="A5" s="34" t="n"/>
      <c r="C5" s="2" t="n"/>
      <c r="D5" s="2" t="n"/>
      <c r="E5" s="2">
        <f>IF(C5=0,0,C5-D5)</f>
        <v/>
      </c>
      <c r="F5">
        <f>IF(C5=0,"",IF(E5=0,"مسدد","متبقي"))</f>
        <v/>
      </c>
    </row>
    <row r="6">
      <c r="A6" s="34" t="n"/>
      <c r="C6" s="2" t="n"/>
      <c r="D6" s="2" t="n"/>
      <c r="E6" s="2">
        <f>IF(C6=0,0,C6-D6)</f>
        <v/>
      </c>
      <c r="F6">
        <f>IF(C6=0,"",IF(E6=0,"مسدد","متبقي"))</f>
        <v/>
      </c>
    </row>
    <row r="7">
      <c r="A7" s="34" t="n"/>
      <c r="C7" s="2" t="n"/>
      <c r="D7" s="2" t="n"/>
      <c r="E7" s="2">
        <f>IF(C7=0,0,C7-D7)</f>
        <v/>
      </c>
      <c r="F7">
        <f>IF(C7=0,"",IF(E7=0,"مسدد","متبقي"))</f>
        <v/>
      </c>
    </row>
    <row r="8">
      <c r="A8" s="34" t="n"/>
      <c r="C8" s="2" t="n"/>
      <c r="D8" s="2" t="n"/>
      <c r="E8" s="2">
        <f>IF(C8=0,0,C8-D8)</f>
        <v/>
      </c>
      <c r="F8">
        <f>IF(C8=0,"",IF(E8=0,"مسدد","متبقي"))</f>
        <v/>
      </c>
    </row>
    <row r="9">
      <c r="A9" s="34" t="n"/>
      <c r="C9" s="2" t="n"/>
      <c r="D9" s="2" t="n"/>
      <c r="E9" s="2">
        <f>IF(C9=0,0,C9-D9)</f>
        <v/>
      </c>
      <c r="F9">
        <f>IF(C9=0,"",IF(E9=0,"مسدد","متبقي"))</f>
        <v/>
      </c>
    </row>
    <row r="10">
      <c r="A10" s="34" t="n"/>
      <c r="C10" s="2" t="n"/>
      <c r="D10" s="2" t="n"/>
      <c r="E10" s="2">
        <f>IF(C10=0,0,C10-D10)</f>
        <v/>
      </c>
      <c r="F10">
        <f>IF(C10=0,"",IF(E10=0,"مسدد","متبقي"))</f>
        <v/>
      </c>
    </row>
    <row r="11">
      <c r="A11" s="34" t="n"/>
      <c r="C11" s="2" t="n"/>
      <c r="D11" s="2" t="n"/>
      <c r="E11" s="2">
        <f>IF(C11=0,0,C11-D11)</f>
        <v/>
      </c>
      <c r="F11">
        <f>IF(C11=0,"",IF(E11=0,"مسدد","متبقي"))</f>
        <v/>
      </c>
    </row>
    <row r="12">
      <c r="A12" s="34" t="n"/>
      <c r="C12" s="2" t="n"/>
      <c r="D12" s="2" t="n"/>
      <c r="E12" s="2">
        <f>IF(C12=0,0,C12-D12)</f>
        <v/>
      </c>
      <c r="F12">
        <f>IF(C12=0,"",IF(E12=0,"مسدد","متبقي"))</f>
        <v/>
      </c>
    </row>
    <row r="13">
      <c r="A13" s="34" t="n"/>
      <c r="C13" s="2" t="n"/>
      <c r="D13" s="2" t="n"/>
      <c r="E13" s="2">
        <f>IF(C13=0,0,C13-D13)</f>
        <v/>
      </c>
      <c r="F13">
        <f>IF(C13=0,"",IF(E13=0,"مسدد","متبقي"))</f>
        <v/>
      </c>
    </row>
    <row r="14">
      <c r="A14" s="34" t="n"/>
      <c r="C14" s="2" t="n"/>
      <c r="D14" s="2" t="n"/>
      <c r="E14" s="2">
        <f>IF(C14=0,0,C14-D14)</f>
        <v/>
      </c>
      <c r="F14">
        <f>IF(C14=0,"",IF(E14=0,"مسدد","متبقي"))</f>
        <v/>
      </c>
    </row>
    <row r="15">
      <c r="A15" s="34" t="n"/>
      <c r="C15" s="2" t="n"/>
      <c r="D15" s="2" t="n"/>
      <c r="E15" s="2">
        <f>IF(C15=0,0,C15-D15)</f>
        <v/>
      </c>
      <c r="F15">
        <f>IF(C15=0,"",IF(E15=0,"مسدد","متبقي"))</f>
        <v/>
      </c>
    </row>
    <row r="16">
      <c r="A16" s="34" t="n"/>
      <c r="C16" s="2" t="n"/>
      <c r="D16" s="2" t="n"/>
      <c r="E16" s="2">
        <f>IF(C16=0,0,C16-D16)</f>
        <v/>
      </c>
      <c r="F16">
        <f>IF(C16=0,"",IF(E16=0,"مسدد","متبقي"))</f>
        <v/>
      </c>
    </row>
    <row r="17">
      <c r="A17" s="34" t="n"/>
      <c r="C17" s="2" t="n"/>
      <c r="D17" s="2" t="n"/>
      <c r="E17" s="2">
        <f>IF(C17=0,0,C17-D17)</f>
        <v/>
      </c>
      <c r="F17">
        <f>IF(C17=0,"",IF(E17=0,"مسدد","متبقي"))</f>
        <v/>
      </c>
    </row>
    <row r="18">
      <c r="A18" s="34" t="n"/>
      <c r="C18" s="2" t="n"/>
      <c r="D18" s="2" t="n"/>
      <c r="E18" s="2">
        <f>IF(C18=0,0,C18-D18)</f>
        <v/>
      </c>
      <c r="F18">
        <f>IF(C18=0,"",IF(E18=0,"مسدد","متبقي"))</f>
        <v/>
      </c>
    </row>
    <row r="19">
      <c r="A19" s="34" t="n"/>
      <c r="C19" s="2" t="n"/>
      <c r="D19" s="2" t="n"/>
      <c r="E19" s="2">
        <f>IF(C19=0,0,C19-D19)</f>
        <v/>
      </c>
      <c r="F19">
        <f>IF(C19=0,"",IF(E19=0,"مسدد","متبقي"))</f>
        <v/>
      </c>
    </row>
    <row r="20">
      <c r="A20" s="34" t="n"/>
      <c r="C20" s="2" t="n"/>
      <c r="D20" s="2" t="n"/>
      <c r="E20" s="2">
        <f>IF(C20=0,0,C20-D20)</f>
        <v/>
      </c>
      <c r="F20">
        <f>IF(C20=0,"",IF(E20=0,"مسدد","متبقي"))</f>
        <v/>
      </c>
    </row>
    <row r="21">
      <c r="A21" s="34" t="n"/>
      <c r="C21" s="2" t="n"/>
      <c r="D21" s="2" t="n"/>
      <c r="E21" s="2">
        <f>IF(C21=0,0,C21-D21)</f>
        <v/>
      </c>
      <c r="F21">
        <f>IF(C21=0,"",IF(E21=0,"مسدد","متبقي"))</f>
        <v/>
      </c>
    </row>
    <row r="22">
      <c r="A22" s="34" t="n"/>
      <c r="C22" s="2" t="n"/>
      <c r="D22" s="2" t="n"/>
      <c r="E22" s="2">
        <f>IF(C22=0,0,C22-D22)</f>
        <v/>
      </c>
      <c r="F22">
        <f>IF(C22=0,"",IF(E22=0,"مسدد","متبقي"))</f>
        <v/>
      </c>
    </row>
    <row r="23">
      <c r="A23" s="34" t="n"/>
      <c r="C23" s="2" t="n"/>
      <c r="D23" s="2" t="n"/>
      <c r="E23" s="2">
        <f>IF(C23=0,0,C23-D23)</f>
        <v/>
      </c>
      <c r="F23">
        <f>IF(C23=0,"",IF(E23=0,"مسدد","متبقي"))</f>
        <v/>
      </c>
    </row>
    <row r="24">
      <c r="A24" s="34" t="n"/>
      <c r="C24" s="2" t="n"/>
      <c r="D24" s="2" t="n"/>
      <c r="E24" s="2">
        <f>IF(C24=0,0,C24-D24)</f>
        <v/>
      </c>
      <c r="F24">
        <f>IF(C24=0,"",IF(E24=0,"مسدد","متبقي"))</f>
        <v/>
      </c>
    </row>
    <row r="25">
      <c r="A25" s="34" t="n"/>
      <c r="C25" s="2" t="n"/>
      <c r="D25" s="2" t="n"/>
      <c r="E25" s="2">
        <f>IF(C25=0,0,C25-D25)</f>
        <v/>
      </c>
      <c r="F25">
        <f>IF(C25=0,"",IF(E25=0,"مسدد","متبقي"))</f>
        <v/>
      </c>
    </row>
    <row r="26">
      <c r="A26" s="34" t="n"/>
      <c r="C26" s="2" t="n"/>
      <c r="D26" s="2" t="n"/>
      <c r="E26" s="2">
        <f>IF(C26=0,0,C26-D26)</f>
        <v/>
      </c>
      <c r="F26">
        <f>IF(C26=0,"",IF(E26=0,"مسدد","متبقي"))</f>
        <v/>
      </c>
    </row>
    <row r="27">
      <c r="A27" s="34" t="n"/>
      <c r="C27" s="2" t="n"/>
      <c r="D27" s="2" t="n"/>
      <c r="E27" s="2">
        <f>IF(C27=0,0,C27-D27)</f>
        <v/>
      </c>
      <c r="F27">
        <f>IF(C27=0,"",IF(E27=0,"مسدد","متبقي"))</f>
        <v/>
      </c>
    </row>
    <row r="28">
      <c r="A28" s="34" t="n"/>
      <c r="C28" s="2" t="n"/>
      <c r="D28" s="2" t="n"/>
      <c r="E28" s="2">
        <f>IF(C28=0,0,C28-D28)</f>
        <v/>
      </c>
      <c r="F28">
        <f>IF(C28=0,"",IF(E28=0,"مسدد","متبقي"))</f>
        <v/>
      </c>
    </row>
    <row r="29">
      <c r="A29" s="34" t="n"/>
      <c r="C29" s="2" t="n"/>
      <c r="D29" s="2" t="n"/>
      <c r="E29" s="2">
        <f>IF(C29=0,0,C29-D29)</f>
        <v/>
      </c>
      <c r="F29">
        <f>IF(C29=0,"",IF(E29=0,"مسدد","متبقي"))</f>
        <v/>
      </c>
    </row>
    <row r="30">
      <c r="A30" s="34" t="n"/>
      <c r="C30" s="2" t="n"/>
      <c r="D30" s="2" t="n"/>
      <c r="E30" s="2">
        <f>IF(C30=0,0,C30-D30)</f>
        <v/>
      </c>
      <c r="F30">
        <f>IF(C30=0,"",IF(E30=0,"مسدد","متبقي"))</f>
        <v/>
      </c>
    </row>
    <row r="31">
      <c r="A31" s="34" t="n"/>
      <c r="C31" s="2" t="n"/>
      <c r="D31" s="2" t="n"/>
      <c r="E31" s="2">
        <f>IF(C31=0,0,C31-D31)</f>
        <v/>
      </c>
      <c r="F31">
        <f>IF(C31=0,"",IF(E31=0,"مسدد","متبقي"))</f>
        <v/>
      </c>
    </row>
    <row r="32">
      <c r="A32" s="34" t="n"/>
      <c r="C32" s="2" t="n"/>
      <c r="D32" s="2" t="n"/>
      <c r="E32" s="2">
        <f>IF(C32=0,0,C32-D32)</f>
        <v/>
      </c>
      <c r="F32">
        <f>IF(C32=0,"",IF(E32=0,"مسدد","متبقي"))</f>
        <v/>
      </c>
    </row>
    <row r="33">
      <c r="A33" s="34" t="n"/>
      <c r="C33" s="2" t="n"/>
      <c r="D33" s="2" t="n"/>
      <c r="E33" s="2">
        <f>IF(C33=0,0,C33-D33)</f>
        <v/>
      </c>
      <c r="F33">
        <f>IF(C33=0,"",IF(E33=0,"مسدد","متبقي"))</f>
        <v/>
      </c>
    </row>
    <row r="34">
      <c r="A34" s="34" t="n"/>
      <c r="C34" s="2" t="n"/>
      <c r="D34" s="2" t="n"/>
      <c r="E34" s="2">
        <f>IF(C34=0,0,C34-D34)</f>
        <v/>
      </c>
      <c r="F34">
        <f>IF(C34=0,"",IF(E34=0,"مسدد","متبقي"))</f>
        <v/>
      </c>
    </row>
    <row r="35">
      <c r="A35" s="34" t="n"/>
      <c r="C35" s="2" t="n"/>
      <c r="D35" s="2" t="n"/>
      <c r="E35" s="2">
        <f>IF(C35=0,0,C35-D35)</f>
        <v/>
      </c>
      <c r="F35">
        <f>IF(C35=0,"",IF(E35=0,"مسدد","متبقي"))</f>
        <v/>
      </c>
    </row>
    <row r="36">
      <c r="A36" s="34" t="n"/>
      <c r="C36" s="2" t="n"/>
      <c r="D36" s="2" t="n"/>
      <c r="E36" s="2">
        <f>IF(C36=0,0,C36-D36)</f>
        <v/>
      </c>
      <c r="F36">
        <f>IF(C36=0,"",IF(E36=0,"مسدد","متبقي"))</f>
        <v/>
      </c>
    </row>
    <row r="37">
      <c r="A37" s="34" t="n"/>
      <c r="C37" s="2" t="n"/>
      <c r="D37" s="2" t="n"/>
      <c r="E37" s="2">
        <f>IF(C37=0,0,C37-D37)</f>
        <v/>
      </c>
      <c r="F37">
        <f>IF(C37=0,"",IF(E37=0,"مسدد","متبقي"))</f>
        <v/>
      </c>
    </row>
    <row r="38">
      <c r="A38" s="34" t="n"/>
      <c r="C38" s="2" t="n"/>
      <c r="D38" s="2" t="n"/>
      <c r="E38" s="2">
        <f>IF(C38=0,0,C38-D38)</f>
        <v/>
      </c>
      <c r="F38">
        <f>IF(C38=0,"",IF(E38=0,"مسدد","متبقي"))</f>
        <v/>
      </c>
    </row>
    <row r="39">
      <c r="A39" s="34" t="n"/>
      <c r="C39" s="2" t="n"/>
      <c r="D39" s="2" t="n"/>
      <c r="E39" s="2">
        <f>IF(C39=0,0,C39-D39)</f>
        <v/>
      </c>
      <c r="F39">
        <f>IF(C39=0,"",IF(E39=0,"مسدد","متبقي"))</f>
        <v/>
      </c>
    </row>
    <row r="40">
      <c r="A40" s="34" t="n"/>
      <c r="C40" s="2" t="n"/>
      <c r="D40" s="2" t="n"/>
      <c r="E40" s="2">
        <f>IF(C40=0,0,C40-D40)</f>
        <v/>
      </c>
      <c r="F40">
        <f>IF(C40=0,"",IF(E40=0,"مسدد","متبقي"))</f>
        <v/>
      </c>
    </row>
    <row r="41">
      <c r="A41" s="34" t="n"/>
      <c r="C41" s="2" t="n"/>
      <c r="D41" s="2" t="n"/>
      <c r="E41" s="2">
        <f>IF(C41=0,0,C41-D41)</f>
        <v/>
      </c>
      <c r="F41">
        <f>IF(C41=0,"",IF(E41=0,"مسدد","متبقي"))</f>
        <v/>
      </c>
    </row>
    <row r="42">
      <c r="A42" s="34" t="n"/>
      <c r="C42" s="2" t="n"/>
      <c r="D42" s="2" t="n"/>
      <c r="E42" s="2">
        <f>IF(C42=0,0,C42-D42)</f>
        <v/>
      </c>
      <c r="F42">
        <f>IF(C42=0,"",IF(E42=0,"مسدد","متبقي"))</f>
        <v/>
      </c>
    </row>
    <row r="43">
      <c r="A43" s="34" t="n"/>
      <c r="C43" s="2" t="n"/>
      <c r="D43" s="2" t="n"/>
      <c r="E43" s="2">
        <f>IF(C43=0,0,C43-D43)</f>
        <v/>
      </c>
      <c r="F43">
        <f>IF(C43=0,"",IF(E43=0,"مسدد","متبقي"))</f>
        <v/>
      </c>
    </row>
    <row r="44">
      <c r="A44" s="34" t="n"/>
      <c r="C44" s="2" t="n"/>
      <c r="D44" s="2" t="n"/>
      <c r="E44" s="2">
        <f>IF(C44=0,0,C44-D44)</f>
        <v/>
      </c>
      <c r="F44">
        <f>IF(C44=0,"",IF(E44=0,"مسدد","متبقي"))</f>
        <v/>
      </c>
    </row>
    <row r="45">
      <c r="A45" s="34" t="n"/>
      <c r="C45" s="2" t="n"/>
      <c r="D45" s="2" t="n"/>
      <c r="E45" s="2">
        <f>IF(C45=0,0,C45-D45)</f>
        <v/>
      </c>
      <c r="F45">
        <f>IF(C45=0,"",IF(E45=0,"مسدد","متبقي"))</f>
        <v/>
      </c>
    </row>
    <row r="46">
      <c r="A46" s="34" t="n"/>
      <c r="C46" s="2" t="n"/>
      <c r="D46" s="2" t="n"/>
      <c r="E46" s="2">
        <f>IF(C46=0,0,C46-D46)</f>
        <v/>
      </c>
      <c r="F46">
        <f>IF(C46=0,"",IF(E46=0,"مسدد","متبقي"))</f>
        <v/>
      </c>
    </row>
    <row r="47">
      <c r="A47" s="34" t="n"/>
      <c r="C47" s="2" t="n"/>
      <c r="D47" s="2" t="n"/>
      <c r="E47" s="2">
        <f>IF(C47=0,0,C47-D47)</f>
        <v/>
      </c>
      <c r="F47">
        <f>IF(C47=0,"",IF(E47=0,"مسدد","متبقي"))</f>
        <v/>
      </c>
    </row>
    <row r="48">
      <c r="A48" s="34" t="n"/>
      <c r="C48" s="2" t="n"/>
      <c r="D48" s="2" t="n"/>
      <c r="E48" s="2">
        <f>IF(C48=0,0,C48-D48)</f>
        <v/>
      </c>
      <c r="F48">
        <f>IF(C48=0,"",IF(E48=0,"مسدد","متبقي"))</f>
        <v/>
      </c>
    </row>
    <row r="49">
      <c r="A49" s="34" t="n"/>
      <c r="C49" s="2" t="n"/>
      <c r="D49" s="2" t="n"/>
      <c r="E49" s="2">
        <f>IF(C49=0,0,C49-D49)</f>
        <v/>
      </c>
      <c r="F49">
        <f>IF(C49=0,"",IF(E49=0,"مسدد","متبقي"))</f>
        <v/>
      </c>
    </row>
    <row r="50">
      <c r="A50" s="34" t="n"/>
      <c r="C50" s="2" t="n"/>
      <c r="D50" s="2" t="n"/>
      <c r="E50" s="2">
        <f>IF(C50=0,0,C50-D50)</f>
        <v/>
      </c>
      <c r="F50">
        <f>IF(C50=0,"",IF(E50=0,"مسدد","متبقي"))</f>
        <v/>
      </c>
    </row>
    <row r="51">
      <c r="A51" s="34" t="n"/>
      <c r="C51" s="2" t="n"/>
      <c r="D51" s="2" t="n"/>
      <c r="E51" s="2">
        <f>IF(C51=0,0,C51-D51)</f>
        <v/>
      </c>
      <c r="F51">
        <f>IF(C51=0,"",IF(E51=0,"مسدد","متبقي"))</f>
        <v/>
      </c>
    </row>
    <row r="52">
      <c r="A52" s="34" t="n"/>
      <c r="C52" s="2" t="n"/>
      <c r="D52" s="2" t="n"/>
      <c r="E52" s="2">
        <f>IF(C52=0,0,C52-D52)</f>
        <v/>
      </c>
      <c r="F52">
        <f>IF(C52=0,"",IF(E52=0,"مسدد","متبقي"))</f>
        <v/>
      </c>
    </row>
    <row r="53">
      <c r="A53" s="34" t="n"/>
      <c r="C53" s="2" t="n"/>
      <c r="D53" s="2" t="n"/>
      <c r="E53" s="2">
        <f>IF(C53=0,0,C53-D53)</f>
        <v/>
      </c>
      <c r="F53">
        <f>IF(C53=0,"",IF(E53=0,"مسدد","متبقي"))</f>
        <v/>
      </c>
    </row>
  </sheetData>
  <mergeCells count="1">
    <mergeCell ref="A1:G1"/>
  </mergeCells>
  <dataValidations count="1">
    <dataValidation sqref="B4:B53" showDropDown="0" showInputMessage="0" showErrorMessage="0" allowBlank="1" error="يرجى اختيار موظف من القائمة" type="list">
      <formula1>=الموظفين!$B$4:$B$23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87CEEB"/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4" customWidth="1" style="24" min="1" max="1"/>
    <col width="20" customWidth="1" style="24" min="2" max="2"/>
    <col width="12" customWidth="1" style="24" min="3" max="3"/>
    <col width="12" customWidth="1" style="24" min="4" max="4"/>
    <col width="16" customWidth="1" style="24" min="5" max="5"/>
    <col width="14" customWidth="1" style="24" min="6" max="6"/>
    <col width="20" customWidth="1" style="24" min="7" max="7"/>
  </cols>
  <sheetData>
    <row r="1">
      <c r="A1" s="32" t="inlineStr">
        <is>
          <t>تسجيل الحضور والانصراف</t>
        </is>
      </c>
    </row>
    <row r="3">
      <c r="A3" s="33" t="inlineStr">
        <is>
          <t>التاريخ</t>
        </is>
      </c>
      <c r="B3" s="33" t="inlineStr">
        <is>
          <t>اسم الموظف</t>
        </is>
      </c>
      <c r="C3" s="33" t="inlineStr">
        <is>
          <t>الحضور</t>
        </is>
      </c>
      <c r="D3" s="33" t="inlineStr">
        <is>
          <t>الانصراف</t>
        </is>
      </c>
      <c r="E3" s="33" t="inlineStr">
        <is>
          <t>ساعات العمل</t>
        </is>
      </c>
      <c r="F3" s="33" t="inlineStr">
        <is>
          <t>تأخير (دقائق)</t>
        </is>
      </c>
      <c r="G3" s="33" t="inlineStr">
        <is>
          <t>ملاحظات</t>
        </is>
      </c>
    </row>
    <row r="4">
      <c r="A4" s="34" t="n"/>
      <c r="C4" s="42" t="n"/>
      <c r="D4" s="42" t="n"/>
      <c r="E4" s="16">
        <f>IF(C4*D4=0,0,(D4-C4)*24)</f>
        <v/>
      </c>
      <c r="F4">
        <f>IF(C4=0,0,MAX(0,(C4-TIME(9,0,0))*1440))</f>
        <v/>
      </c>
    </row>
    <row r="5">
      <c r="A5" s="34" t="n"/>
      <c r="C5" s="42" t="n"/>
      <c r="D5" s="42" t="n"/>
      <c r="E5" s="16">
        <f>IF(C5*D5=0,0,(D5-C5)*24)</f>
        <v/>
      </c>
      <c r="F5">
        <f>IF(C5=0,0,MAX(0,(C5-TIME(9,0,0))*1440))</f>
        <v/>
      </c>
    </row>
    <row r="6">
      <c r="A6" s="34" t="n"/>
      <c r="C6" s="42" t="n"/>
      <c r="D6" s="42" t="n"/>
      <c r="E6" s="16">
        <f>IF(C6*D6=0,0,(D6-C6)*24)</f>
        <v/>
      </c>
      <c r="F6">
        <f>IF(C6=0,0,MAX(0,(C6-TIME(9,0,0))*1440))</f>
        <v/>
      </c>
    </row>
    <row r="7">
      <c r="A7" s="34" t="n"/>
      <c r="C7" s="42" t="n"/>
      <c r="D7" s="42" t="n"/>
      <c r="E7" s="16">
        <f>IF(C7*D7=0,0,(D7-C7)*24)</f>
        <v/>
      </c>
      <c r="F7">
        <f>IF(C7=0,0,MAX(0,(C7-TIME(9,0,0))*1440))</f>
        <v/>
      </c>
    </row>
    <row r="8">
      <c r="A8" s="34" t="n"/>
      <c r="C8" s="42" t="n"/>
      <c r="D8" s="42" t="n"/>
      <c r="E8" s="16">
        <f>IF(C8*D8=0,0,(D8-C8)*24)</f>
        <v/>
      </c>
      <c r="F8">
        <f>IF(C8=0,0,MAX(0,(C8-TIME(9,0,0))*1440))</f>
        <v/>
      </c>
    </row>
    <row r="9">
      <c r="A9" s="34" t="n"/>
      <c r="C9" s="42" t="n"/>
      <c r="D9" s="42" t="n"/>
      <c r="E9" s="16">
        <f>IF(C9*D9=0,0,(D9-C9)*24)</f>
        <v/>
      </c>
      <c r="F9">
        <f>IF(C9=0,0,MAX(0,(C9-TIME(9,0,0))*1440))</f>
        <v/>
      </c>
    </row>
    <row r="10">
      <c r="A10" s="34" t="n"/>
      <c r="C10" s="42" t="n"/>
      <c r="D10" s="42" t="n"/>
      <c r="E10" s="16">
        <f>IF(C10*D10=0,0,(D10-C10)*24)</f>
        <v/>
      </c>
      <c r="F10">
        <f>IF(C10=0,0,MAX(0,(C10-TIME(9,0,0))*1440))</f>
        <v/>
      </c>
    </row>
    <row r="11">
      <c r="A11" s="34" t="n"/>
      <c r="C11" s="42" t="n"/>
      <c r="D11" s="42" t="n"/>
      <c r="E11" s="16">
        <f>IF(C11*D11=0,0,(D11-C11)*24)</f>
        <v/>
      </c>
      <c r="F11">
        <f>IF(C11=0,0,MAX(0,(C11-TIME(9,0,0))*1440))</f>
        <v/>
      </c>
    </row>
    <row r="12">
      <c r="A12" s="34" t="n"/>
      <c r="C12" s="42" t="n"/>
      <c r="D12" s="42" t="n"/>
      <c r="E12" s="16">
        <f>IF(C12*D12=0,0,(D12-C12)*24)</f>
        <v/>
      </c>
      <c r="F12">
        <f>IF(C12=0,0,MAX(0,(C12-TIME(9,0,0))*1440))</f>
        <v/>
      </c>
    </row>
    <row r="13">
      <c r="A13" s="34" t="n"/>
      <c r="C13" s="42" t="n"/>
      <c r="D13" s="42" t="n"/>
      <c r="E13" s="16">
        <f>IF(C13*D13=0,0,(D13-C13)*24)</f>
        <v/>
      </c>
      <c r="F13">
        <f>IF(C13=0,0,MAX(0,(C13-TIME(9,0,0))*1440))</f>
        <v/>
      </c>
    </row>
    <row r="14">
      <c r="A14" s="34" t="n"/>
      <c r="C14" s="42" t="n"/>
      <c r="D14" s="42" t="n"/>
      <c r="E14" s="16">
        <f>IF(C14*D14=0,0,(D14-C14)*24)</f>
        <v/>
      </c>
      <c r="F14">
        <f>IF(C14=0,0,MAX(0,(C14-TIME(9,0,0))*1440))</f>
        <v/>
      </c>
    </row>
    <row r="15">
      <c r="A15" s="34" t="n"/>
      <c r="C15" s="42" t="n"/>
      <c r="D15" s="42" t="n"/>
      <c r="E15" s="16">
        <f>IF(C15*D15=0,0,(D15-C15)*24)</f>
        <v/>
      </c>
      <c r="F15">
        <f>IF(C15=0,0,MAX(0,(C15-TIME(9,0,0))*1440))</f>
        <v/>
      </c>
    </row>
    <row r="16">
      <c r="A16" s="34" t="n"/>
      <c r="C16" s="42" t="n"/>
      <c r="D16" s="42" t="n"/>
      <c r="E16" s="16">
        <f>IF(C16*D16=0,0,(D16-C16)*24)</f>
        <v/>
      </c>
      <c r="F16">
        <f>IF(C16=0,0,MAX(0,(C16-TIME(9,0,0))*1440))</f>
        <v/>
      </c>
    </row>
    <row r="17">
      <c r="A17" s="34" t="n"/>
      <c r="C17" s="42" t="n"/>
      <c r="D17" s="42" t="n"/>
      <c r="E17" s="16">
        <f>IF(C17*D17=0,0,(D17-C17)*24)</f>
        <v/>
      </c>
      <c r="F17">
        <f>IF(C17=0,0,MAX(0,(C17-TIME(9,0,0))*1440))</f>
        <v/>
      </c>
    </row>
    <row r="18">
      <c r="A18" s="34" t="n"/>
      <c r="C18" s="42" t="n"/>
      <c r="D18" s="42" t="n"/>
      <c r="E18" s="16">
        <f>IF(C18*D18=0,0,(D18-C18)*24)</f>
        <v/>
      </c>
      <c r="F18">
        <f>IF(C18=0,0,MAX(0,(C18-TIME(9,0,0))*1440))</f>
        <v/>
      </c>
    </row>
    <row r="19">
      <c r="A19" s="34" t="n"/>
      <c r="C19" s="42" t="n"/>
      <c r="D19" s="42" t="n"/>
      <c r="E19" s="16">
        <f>IF(C19*D19=0,0,(D19-C19)*24)</f>
        <v/>
      </c>
      <c r="F19">
        <f>IF(C19=0,0,MAX(0,(C19-TIME(9,0,0))*1440))</f>
        <v/>
      </c>
    </row>
    <row r="20">
      <c r="A20" s="34" t="n"/>
      <c r="C20" s="42" t="n"/>
      <c r="D20" s="42" t="n"/>
      <c r="E20" s="16">
        <f>IF(C20*D20=0,0,(D20-C20)*24)</f>
        <v/>
      </c>
      <c r="F20">
        <f>IF(C20=0,0,MAX(0,(C20-TIME(9,0,0))*1440))</f>
        <v/>
      </c>
    </row>
    <row r="21">
      <c r="A21" s="34" t="n"/>
      <c r="C21" s="42" t="n"/>
      <c r="D21" s="42" t="n"/>
      <c r="E21" s="16">
        <f>IF(C21*D21=0,0,(D21-C21)*24)</f>
        <v/>
      </c>
      <c r="F21">
        <f>IF(C21=0,0,MAX(0,(C21-TIME(9,0,0))*1440))</f>
        <v/>
      </c>
    </row>
    <row r="22">
      <c r="A22" s="34" t="n"/>
      <c r="C22" s="42" t="n"/>
      <c r="D22" s="42" t="n"/>
      <c r="E22" s="16">
        <f>IF(C22*D22=0,0,(D22-C22)*24)</f>
        <v/>
      </c>
      <c r="F22">
        <f>IF(C22=0,0,MAX(0,(C22-TIME(9,0,0))*1440))</f>
        <v/>
      </c>
    </row>
    <row r="23">
      <c r="A23" s="34" t="n"/>
      <c r="C23" s="42" t="n"/>
      <c r="D23" s="42" t="n"/>
      <c r="E23" s="16">
        <f>IF(C23*D23=0,0,(D23-C23)*24)</f>
        <v/>
      </c>
      <c r="F23">
        <f>IF(C23=0,0,MAX(0,(C23-TIME(9,0,0))*1440))</f>
        <v/>
      </c>
    </row>
    <row r="24">
      <c r="A24" s="34" t="n"/>
      <c r="C24" s="42" t="n"/>
      <c r="D24" s="42" t="n"/>
      <c r="E24" s="16">
        <f>IF(C24*D24=0,0,(D24-C24)*24)</f>
        <v/>
      </c>
      <c r="F24">
        <f>IF(C24=0,0,MAX(0,(C24-TIME(9,0,0))*1440))</f>
        <v/>
      </c>
    </row>
    <row r="25">
      <c r="A25" s="34" t="n"/>
      <c r="C25" s="42" t="n"/>
      <c r="D25" s="42" t="n"/>
      <c r="E25" s="16">
        <f>IF(C25*D25=0,0,(D25-C25)*24)</f>
        <v/>
      </c>
      <c r="F25">
        <f>IF(C25=0,0,MAX(0,(C25-TIME(9,0,0))*1440))</f>
        <v/>
      </c>
    </row>
    <row r="26">
      <c r="A26" s="34" t="n"/>
      <c r="C26" s="42" t="n"/>
      <c r="D26" s="42" t="n"/>
      <c r="E26" s="16">
        <f>IF(C26*D26=0,0,(D26-C26)*24)</f>
        <v/>
      </c>
      <c r="F26">
        <f>IF(C26=0,0,MAX(0,(C26-TIME(9,0,0))*1440))</f>
        <v/>
      </c>
    </row>
    <row r="27">
      <c r="A27" s="34" t="n"/>
      <c r="C27" s="42" t="n"/>
      <c r="D27" s="42" t="n"/>
      <c r="E27" s="16">
        <f>IF(C27*D27=0,0,(D27-C27)*24)</f>
        <v/>
      </c>
      <c r="F27">
        <f>IF(C27=0,0,MAX(0,(C27-TIME(9,0,0))*1440))</f>
        <v/>
      </c>
    </row>
    <row r="28">
      <c r="A28" s="34" t="n"/>
      <c r="C28" s="42" t="n"/>
      <c r="D28" s="42" t="n"/>
      <c r="E28" s="16">
        <f>IF(C28*D28=0,0,(D28-C28)*24)</f>
        <v/>
      </c>
      <c r="F28">
        <f>IF(C28=0,0,MAX(0,(C28-TIME(9,0,0))*1440))</f>
        <v/>
      </c>
    </row>
    <row r="29">
      <c r="A29" s="34" t="n"/>
      <c r="C29" s="42" t="n"/>
      <c r="D29" s="42" t="n"/>
      <c r="E29" s="16">
        <f>IF(C29*D29=0,0,(D29-C29)*24)</f>
        <v/>
      </c>
      <c r="F29">
        <f>IF(C29=0,0,MAX(0,(C29-TIME(9,0,0))*1440))</f>
        <v/>
      </c>
    </row>
    <row r="30">
      <c r="A30" s="34" t="n"/>
      <c r="C30" s="42" t="n"/>
      <c r="D30" s="42" t="n"/>
      <c r="E30" s="16">
        <f>IF(C30*D30=0,0,(D30-C30)*24)</f>
        <v/>
      </c>
      <c r="F30">
        <f>IF(C30=0,0,MAX(0,(C30-TIME(9,0,0))*1440))</f>
        <v/>
      </c>
    </row>
    <row r="31">
      <c r="A31" s="34" t="n"/>
      <c r="C31" s="42" t="n"/>
      <c r="D31" s="42" t="n"/>
      <c r="E31" s="16">
        <f>IF(C31*D31=0,0,(D31-C31)*24)</f>
        <v/>
      </c>
      <c r="F31">
        <f>IF(C31=0,0,MAX(0,(C31-TIME(9,0,0))*1440))</f>
        <v/>
      </c>
    </row>
    <row r="32">
      <c r="A32" s="34" t="n"/>
      <c r="C32" s="42" t="n"/>
      <c r="D32" s="42" t="n"/>
      <c r="E32" s="16">
        <f>IF(C32*D32=0,0,(D32-C32)*24)</f>
        <v/>
      </c>
      <c r="F32">
        <f>IF(C32=0,0,MAX(0,(C32-TIME(9,0,0))*1440))</f>
        <v/>
      </c>
    </row>
    <row r="33">
      <c r="A33" s="34" t="n"/>
      <c r="C33" s="42" t="n"/>
      <c r="D33" s="42" t="n"/>
      <c r="E33" s="16">
        <f>IF(C33*D33=0,0,(D33-C33)*24)</f>
        <v/>
      </c>
      <c r="F33">
        <f>IF(C33=0,0,MAX(0,(C33-TIME(9,0,0))*1440))</f>
        <v/>
      </c>
    </row>
    <row r="34">
      <c r="A34" s="34" t="n"/>
      <c r="C34" s="42" t="n"/>
      <c r="D34" s="42" t="n"/>
      <c r="E34" s="16">
        <f>IF(C34*D34=0,0,(D34-C34)*24)</f>
        <v/>
      </c>
      <c r="F34">
        <f>IF(C34=0,0,MAX(0,(C34-TIME(9,0,0))*1440))</f>
        <v/>
      </c>
    </row>
    <row r="35">
      <c r="A35" s="34" t="n"/>
      <c r="C35" s="42" t="n"/>
      <c r="D35" s="42" t="n"/>
      <c r="E35" s="16">
        <f>IF(C35*D35=0,0,(D35-C35)*24)</f>
        <v/>
      </c>
      <c r="F35">
        <f>IF(C35=0,0,MAX(0,(C35-TIME(9,0,0))*1440))</f>
        <v/>
      </c>
    </row>
    <row r="36">
      <c r="A36" s="34" t="n"/>
      <c r="C36" s="42" t="n"/>
      <c r="D36" s="42" t="n"/>
      <c r="E36" s="16">
        <f>IF(C36*D36=0,0,(D36-C36)*24)</f>
        <v/>
      </c>
      <c r="F36">
        <f>IF(C36=0,0,MAX(0,(C36-TIME(9,0,0))*1440))</f>
        <v/>
      </c>
    </row>
    <row r="37">
      <c r="A37" s="34" t="n"/>
      <c r="C37" s="42" t="n"/>
      <c r="D37" s="42" t="n"/>
      <c r="E37" s="16">
        <f>IF(C37*D37=0,0,(D37-C37)*24)</f>
        <v/>
      </c>
      <c r="F37">
        <f>IF(C37=0,0,MAX(0,(C37-TIME(9,0,0))*1440))</f>
        <v/>
      </c>
    </row>
    <row r="38">
      <c r="A38" s="34" t="n"/>
      <c r="C38" s="42" t="n"/>
      <c r="D38" s="42" t="n"/>
      <c r="E38" s="16">
        <f>IF(C38*D38=0,0,(D38-C38)*24)</f>
        <v/>
      </c>
      <c r="F38">
        <f>IF(C38=0,0,MAX(0,(C38-TIME(9,0,0))*1440))</f>
        <v/>
      </c>
    </row>
    <row r="39">
      <c r="A39" s="34" t="n"/>
      <c r="C39" s="42" t="n"/>
      <c r="D39" s="42" t="n"/>
      <c r="E39" s="16">
        <f>IF(C39*D39=0,0,(D39-C39)*24)</f>
        <v/>
      </c>
      <c r="F39">
        <f>IF(C39=0,0,MAX(0,(C39-TIME(9,0,0))*1440))</f>
        <v/>
      </c>
    </row>
    <row r="40">
      <c r="A40" s="34" t="n"/>
      <c r="C40" s="42" t="n"/>
      <c r="D40" s="42" t="n"/>
      <c r="E40" s="16">
        <f>IF(C40*D40=0,0,(D40-C40)*24)</f>
        <v/>
      </c>
      <c r="F40">
        <f>IF(C40=0,0,MAX(0,(C40-TIME(9,0,0))*1440))</f>
        <v/>
      </c>
    </row>
    <row r="41">
      <c r="A41" s="34" t="n"/>
      <c r="C41" s="42" t="n"/>
      <c r="D41" s="42" t="n"/>
      <c r="E41" s="16">
        <f>IF(C41*D41=0,0,(D41-C41)*24)</f>
        <v/>
      </c>
      <c r="F41">
        <f>IF(C41=0,0,MAX(0,(C41-TIME(9,0,0))*1440))</f>
        <v/>
      </c>
    </row>
    <row r="42">
      <c r="A42" s="34" t="n"/>
      <c r="C42" s="42" t="n"/>
      <c r="D42" s="42" t="n"/>
      <c r="E42" s="16">
        <f>IF(C42*D42=0,0,(D42-C42)*24)</f>
        <v/>
      </c>
      <c r="F42">
        <f>IF(C42=0,0,MAX(0,(C42-TIME(9,0,0))*1440))</f>
        <v/>
      </c>
    </row>
    <row r="43">
      <c r="A43" s="34" t="n"/>
      <c r="C43" s="42" t="n"/>
      <c r="D43" s="42" t="n"/>
      <c r="E43" s="16">
        <f>IF(C43*D43=0,0,(D43-C43)*24)</f>
        <v/>
      </c>
      <c r="F43">
        <f>IF(C43=0,0,MAX(0,(C43-TIME(9,0,0))*1440))</f>
        <v/>
      </c>
    </row>
    <row r="44">
      <c r="A44" s="34" t="n"/>
      <c r="C44" s="42" t="n"/>
      <c r="D44" s="42" t="n"/>
      <c r="E44" s="16">
        <f>IF(C44*D44=0,0,(D44-C44)*24)</f>
        <v/>
      </c>
      <c r="F44">
        <f>IF(C44=0,0,MAX(0,(C44-TIME(9,0,0))*1440))</f>
        <v/>
      </c>
    </row>
    <row r="45">
      <c r="A45" s="34" t="n"/>
      <c r="C45" s="42" t="n"/>
      <c r="D45" s="42" t="n"/>
      <c r="E45" s="16">
        <f>IF(C45*D45=0,0,(D45-C45)*24)</f>
        <v/>
      </c>
      <c r="F45">
        <f>IF(C45=0,0,MAX(0,(C45-TIME(9,0,0))*1440))</f>
        <v/>
      </c>
    </row>
    <row r="46">
      <c r="A46" s="34" t="n"/>
      <c r="C46" s="42" t="n"/>
      <c r="D46" s="42" t="n"/>
      <c r="E46" s="16">
        <f>IF(C46*D46=0,0,(D46-C46)*24)</f>
        <v/>
      </c>
      <c r="F46">
        <f>IF(C46=0,0,MAX(0,(C46-TIME(9,0,0))*1440))</f>
        <v/>
      </c>
    </row>
    <row r="47">
      <c r="A47" s="34" t="n"/>
      <c r="C47" s="42" t="n"/>
      <c r="D47" s="42" t="n"/>
      <c r="E47" s="16">
        <f>IF(C47*D47=0,0,(D47-C47)*24)</f>
        <v/>
      </c>
      <c r="F47">
        <f>IF(C47=0,0,MAX(0,(C47-TIME(9,0,0))*1440))</f>
        <v/>
      </c>
    </row>
    <row r="48">
      <c r="A48" s="34" t="n"/>
      <c r="C48" s="42" t="n"/>
      <c r="D48" s="42" t="n"/>
      <c r="E48" s="16">
        <f>IF(C48*D48=0,0,(D48-C48)*24)</f>
        <v/>
      </c>
      <c r="F48">
        <f>IF(C48=0,0,MAX(0,(C48-TIME(9,0,0))*1440))</f>
        <v/>
      </c>
    </row>
    <row r="49">
      <c r="A49" s="34" t="n"/>
      <c r="C49" s="42" t="n"/>
      <c r="D49" s="42" t="n"/>
      <c r="E49" s="16">
        <f>IF(C49*D49=0,0,(D49-C49)*24)</f>
        <v/>
      </c>
      <c r="F49">
        <f>IF(C49=0,0,MAX(0,(C49-TIME(9,0,0))*1440))</f>
        <v/>
      </c>
    </row>
    <row r="50">
      <c r="A50" s="34" t="n"/>
      <c r="C50" s="42" t="n"/>
      <c r="D50" s="42" t="n"/>
      <c r="E50" s="16">
        <f>IF(C50*D50=0,0,(D50-C50)*24)</f>
        <v/>
      </c>
      <c r="F50">
        <f>IF(C50=0,0,MAX(0,(C50-TIME(9,0,0))*1440))</f>
        <v/>
      </c>
    </row>
    <row r="51">
      <c r="A51" s="34" t="n"/>
      <c r="C51" s="42" t="n"/>
      <c r="D51" s="42" t="n"/>
      <c r="E51" s="16">
        <f>IF(C51*D51=0,0,(D51-C51)*24)</f>
        <v/>
      </c>
      <c r="F51">
        <f>IF(C51=0,0,MAX(0,(C51-TIME(9,0,0))*1440))</f>
        <v/>
      </c>
    </row>
    <row r="52">
      <c r="A52" s="34" t="n"/>
      <c r="C52" s="42" t="n"/>
      <c r="D52" s="42" t="n"/>
      <c r="E52" s="16">
        <f>IF(C52*D52=0,0,(D52-C52)*24)</f>
        <v/>
      </c>
      <c r="F52">
        <f>IF(C52=0,0,MAX(0,(C52-TIME(9,0,0))*1440))</f>
        <v/>
      </c>
    </row>
    <row r="53">
      <c r="A53" s="34" t="n"/>
      <c r="C53" s="42" t="n"/>
      <c r="D53" s="42" t="n"/>
      <c r="E53" s="16">
        <f>IF(C53*D53=0,0,(D53-C53)*24)</f>
        <v/>
      </c>
      <c r="F53">
        <f>IF(C53=0,0,MAX(0,(C53-TIME(9,0,0))*1440))</f>
        <v/>
      </c>
    </row>
    <row r="54">
      <c r="A54" s="34" t="n"/>
      <c r="C54" s="42" t="n"/>
      <c r="D54" s="42" t="n"/>
      <c r="E54" s="16">
        <f>IF(C54*D54=0,0,(D54-C54)*24)</f>
        <v/>
      </c>
      <c r="F54">
        <f>IF(C54=0,0,MAX(0,(C54-TIME(9,0,0))*1440))</f>
        <v/>
      </c>
    </row>
    <row r="55">
      <c r="A55" s="34" t="n"/>
      <c r="C55" s="42" t="n"/>
      <c r="D55" s="42" t="n"/>
      <c r="E55" s="16">
        <f>IF(C55*D55=0,0,(D55-C55)*24)</f>
        <v/>
      </c>
      <c r="F55">
        <f>IF(C55=0,0,MAX(0,(C55-TIME(9,0,0))*1440))</f>
        <v/>
      </c>
    </row>
    <row r="56">
      <c r="A56" s="34" t="n"/>
      <c r="C56" s="42" t="n"/>
      <c r="D56" s="42" t="n"/>
      <c r="E56" s="16">
        <f>IF(C56*D56=0,0,(D56-C56)*24)</f>
        <v/>
      </c>
      <c r="F56">
        <f>IF(C56=0,0,MAX(0,(C56-TIME(9,0,0))*1440))</f>
        <v/>
      </c>
    </row>
    <row r="57">
      <c r="A57" s="34" t="n"/>
      <c r="C57" s="42" t="n"/>
      <c r="D57" s="42" t="n"/>
      <c r="E57" s="16">
        <f>IF(C57*D57=0,0,(D57-C57)*24)</f>
        <v/>
      </c>
      <c r="F57">
        <f>IF(C57=0,0,MAX(0,(C57-TIME(9,0,0))*1440))</f>
        <v/>
      </c>
    </row>
    <row r="58">
      <c r="A58" s="34" t="n"/>
      <c r="C58" s="42" t="n"/>
      <c r="D58" s="42" t="n"/>
      <c r="E58" s="16">
        <f>IF(C58*D58=0,0,(D58-C58)*24)</f>
        <v/>
      </c>
      <c r="F58">
        <f>IF(C58=0,0,MAX(0,(C58-TIME(9,0,0))*1440))</f>
        <v/>
      </c>
    </row>
    <row r="59">
      <c r="A59" s="34" t="n"/>
      <c r="C59" s="42" t="n"/>
      <c r="D59" s="42" t="n"/>
      <c r="E59" s="16">
        <f>IF(C59*D59=0,0,(D59-C59)*24)</f>
        <v/>
      </c>
      <c r="F59">
        <f>IF(C59=0,0,MAX(0,(C59-TIME(9,0,0))*1440))</f>
        <v/>
      </c>
    </row>
    <row r="60">
      <c r="A60" s="34" t="n"/>
      <c r="C60" s="42" t="n"/>
      <c r="D60" s="42" t="n"/>
      <c r="E60" s="16">
        <f>IF(C60*D60=0,0,(D60-C60)*24)</f>
        <v/>
      </c>
      <c r="F60">
        <f>IF(C60=0,0,MAX(0,(C60-TIME(9,0,0))*1440))</f>
        <v/>
      </c>
    </row>
    <row r="61">
      <c r="A61" s="34" t="n"/>
      <c r="C61" s="42" t="n"/>
      <c r="D61" s="42" t="n"/>
      <c r="E61" s="16">
        <f>IF(C61*D61=0,0,(D61-C61)*24)</f>
        <v/>
      </c>
      <c r="F61">
        <f>IF(C61=0,0,MAX(0,(C61-TIME(9,0,0))*1440))</f>
        <v/>
      </c>
    </row>
    <row r="62">
      <c r="A62" s="34" t="n"/>
      <c r="C62" s="42" t="n"/>
      <c r="D62" s="42" t="n"/>
      <c r="E62" s="16">
        <f>IF(C62*D62=0,0,(D62-C62)*24)</f>
        <v/>
      </c>
      <c r="F62">
        <f>IF(C62=0,0,MAX(0,(C62-TIME(9,0,0))*1440))</f>
        <v/>
      </c>
    </row>
    <row r="63">
      <c r="A63" s="34" t="n"/>
      <c r="C63" s="42" t="n"/>
      <c r="D63" s="42" t="n"/>
      <c r="E63" s="16">
        <f>IF(C63*D63=0,0,(D63-C63)*24)</f>
        <v/>
      </c>
      <c r="F63">
        <f>IF(C63=0,0,MAX(0,(C63-TIME(9,0,0))*1440))</f>
        <v/>
      </c>
    </row>
    <row r="64">
      <c r="A64" s="34" t="n"/>
      <c r="C64" s="42" t="n"/>
      <c r="D64" s="42" t="n"/>
      <c r="E64" s="16">
        <f>IF(C64*D64=0,0,(D64-C64)*24)</f>
        <v/>
      </c>
      <c r="F64">
        <f>IF(C64=0,0,MAX(0,(C64-TIME(9,0,0))*1440))</f>
        <v/>
      </c>
    </row>
    <row r="65">
      <c r="A65" s="34" t="n"/>
      <c r="C65" s="42" t="n"/>
      <c r="D65" s="42" t="n"/>
      <c r="E65" s="16">
        <f>IF(C65*D65=0,0,(D65-C65)*24)</f>
        <v/>
      </c>
      <c r="F65">
        <f>IF(C65=0,0,MAX(0,(C65-TIME(9,0,0))*1440))</f>
        <v/>
      </c>
    </row>
    <row r="66">
      <c r="A66" s="34" t="n"/>
      <c r="C66" s="42" t="n"/>
      <c r="D66" s="42" t="n"/>
      <c r="E66" s="16">
        <f>IF(C66*D66=0,0,(D66-C66)*24)</f>
        <v/>
      </c>
      <c r="F66">
        <f>IF(C66=0,0,MAX(0,(C66-TIME(9,0,0))*1440))</f>
        <v/>
      </c>
    </row>
    <row r="67">
      <c r="A67" s="34" t="n"/>
      <c r="C67" s="42" t="n"/>
      <c r="D67" s="42" t="n"/>
      <c r="E67" s="16">
        <f>IF(C67*D67=0,0,(D67-C67)*24)</f>
        <v/>
      </c>
      <c r="F67">
        <f>IF(C67=0,0,MAX(0,(C67-TIME(9,0,0))*1440))</f>
        <v/>
      </c>
    </row>
    <row r="68">
      <c r="A68" s="34" t="n"/>
      <c r="C68" s="42" t="n"/>
      <c r="D68" s="42" t="n"/>
      <c r="E68" s="16">
        <f>IF(C68*D68=0,0,(D68-C68)*24)</f>
        <v/>
      </c>
      <c r="F68">
        <f>IF(C68=0,0,MAX(0,(C68-TIME(9,0,0))*1440))</f>
        <v/>
      </c>
    </row>
    <row r="69">
      <c r="A69" s="34" t="n"/>
      <c r="C69" s="42" t="n"/>
      <c r="D69" s="42" t="n"/>
      <c r="E69" s="16">
        <f>IF(C69*D69=0,0,(D69-C69)*24)</f>
        <v/>
      </c>
      <c r="F69">
        <f>IF(C69=0,0,MAX(0,(C69-TIME(9,0,0))*1440))</f>
        <v/>
      </c>
    </row>
    <row r="70">
      <c r="A70" s="34" t="n"/>
      <c r="C70" s="42" t="n"/>
      <c r="D70" s="42" t="n"/>
      <c r="E70" s="16">
        <f>IF(C70*D70=0,0,(D70-C70)*24)</f>
        <v/>
      </c>
      <c r="F70">
        <f>IF(C70=0,0,MAX(0,(C70-TIME(9,0,0))*1440))</f>
        <v/>
      </c>
    </row>
    <row r="71">
      <c r="A71" s="34" t="n"/>
      <c r="C71" s="42" t="n"/>
      <c r="D71" s="42" t="n"/>
      <c r="E71" s="16">
        <f>IF(C71*D71=0,0,(D71-C71)*24)</f>
        <v/>
      </c>
      <c r="F71">
        <f>IF(C71=0,0,MAX(0,(C71-TIME(9,0,0))*1440))</f>
        <v/>
      </c>
    </row>
    <row r="72">
      <c r="A72" s="34" t="n"/>
      <c r="C72" s="42" t="n"/>
      <c r="D72" s="42" t="n"/>
      <c r="E72" s="16">
        <f>IF(C72*D72=0,0,(D72-C72)*24)</f>
        <v/>
      </c>
      <c r="F72">
        <f>IF(C72=0,0,MAX(0,(C72-TIME(9,0,0))*1440))</f>
        <v/>
      </c>
    </row>
    <row r="73">
      <c r="A73" s="34" t="n"/>
      <c r="C73" s="42" t="n"/>
      <c r="D73" s="42" t="n"/>
      <c r="E73" s="16">
        <f>IF(C73*D73=0,0,(D73-C73)*24)</f>
        <v/>
      </c>
      <c r="F73">
        <f>IF(C73=0,0,MAX(0,(C73-TIME(9,0,0))*1440))</f>
        <v/>
      </c>
    </row>
    <row r="74">
      <c r="A74" s="34" t="n"/>
      <c r="C74" s="42" t="n"/>
      <c r="D74" s="42" t="n"/>
      <c r="E74" s="16">
        <f>IF(C74*D74=0,0,(D74-C74)*24)</f>
        <v/>
      </c>
      <c r="F74">
        <f>IF(C74=0,0,MAX(0,(C74-TIME(9,0,0))*1440))</f>
        <v/>
      </c>
    </row>
    <row r="75">
      <c r="A75" s="34" t="n"/>
      <c r="C75" s="42" t="n"/>
      <c r="D75" s="42" t="n"/>
      <c r="E75" s="16">
        <f>IF(C75*D75=0,0,(D75-C75)*24)</f>
        <v/>
      </c>
      <c r="F75">
        <f>IF(C75=0,0,MAX(0,(C75-TIME(9,0,0))*1440))</f>
        <v/>
      </c>
    </row>
    <row r="76">
      <c r="A76" s="34" t="n"/>
      <c r="C76" s="42" t="n"/>
      <c r="D76" s="42" t="n"/>
      <c r="E76" s="16">
        <f>IF(C76*D76=0,0,(D76-C76)*24)</f>
        <v/>
      </c>
      <c r="F76">
        <f>IF(C76=0,0,MAX(0,(C76-TIME(9,0,0))*1440))</f>
        <v/>
      </c>
    </row>
    <row r="77">
      <c r="A77" s="34" t="n"/>
      <c r="C77" s="42" t="n"/>
      <c r="D77" s="42" t="n"/>
      <c r="E77" s="16">
        <f>IF(C77*D77=0,0,(D77-C77)*24)</f>
        <v/>
      </c>
      <c r="F77">
        <f>IF(C77=0,0,MAX(0,(C77-TIME(9,0,0))*1440))</f>
        <v/>
      </c>
    </row>
    <row r="78">
      <c r="A78" s="34" t="n"/>
      <c r="C78" s="42" t="n"/>
      <c r="D78" s="42" t="n"/>
      <c r="E78" s="16">
        <f>IF(C78*D78=0,0,(D78-C78)*24)</f>
        <v/>
      </c>
      <c r="F78">
        <f>IF(C78=0,0,MAX(0,(C78-TIME(9,0,0))*1440))</f>
        <v/>
      </c>
    </row>
    <row r="79">
      <c r="A79" s="34" t="n"/>
      <c r="C79" s="42" t="n"/>
      <c r="D79" s="42" t="n"/>
      <c r="E79" s="16">
        <f>IF(C79*D79=0,0,(D79-C79)*24)</f>
        <v/>
      </c>
      <c r="F79">
        <f>IF(C79=0,0,MAX(0,(C79-TIME(9,0,0))*1440))</f>
        <v/>
      </c>
    </row>
    <row r="80">
      <c r="A80" s="34" t="n"/>
      <c r="C80" s="42" t="n"/>
      <c r="D80" s="42" t="n"/>
      <c r="E80" s="16">
        <f>IF(C80*D80=0,0,(D80-C80)*24)</f>
        <v/>
      </c>
      <c r="F80">
        <f>IF(C80=0,0,MAX(0,(C80-TIME(9,0,0))*1440))</f>
        <v/>
      </c>
    </row>
    <row r="81">
      <c r="A81" s="34" t="n"/>
      <c r="C81" s="42" t="n"/>
      <c r="D81" s="42" t="n"/>
      <c r="E81" s="16">
        <f>IF(C81*D81=0,0,(D81-C81)*24)</f>
        <v/>
      </c>
      <c r="F81">
        <f>IF(C81=0,0,MAX(0,(C81-TIME(9,0,0))*1440))</f>
        <v/>
      </c>
    </row>
    <row r="82">
      <c r="A82" s="34" t="n"/>
      <c r="C82" s="42" t="n"/>
      <c r="D82" s="42" t="n"/>
      <c r="E82" s="16">
        <f>IF(C82*D82=0,0,(D82-C82)*24)</f>
        <v/>
      </c>
      <c r="F82">
        <f>IF(C82=0,0,MAX(0,(C82-TIME(9,0,0))*1440))</f>
        <v/>
      </c>
    </row>
    <row r="83">
      <c r="A83" s="34" t="n"/>
      <c r="C83" s="42" t="n"/>
      <c r="D83" s="42" t="n"/>
      <c r="E83" s="16">
        <f>IF(C83*D83=0,0,(D83-C83)*24)</f>
        <v/>
      </c>
      <c r="F83">
        <f>IF(C83=0,0,MAX(0,(C83-TIME(9,0,0))*1440))</f>
        <v/>
      </c>
    </row>
    <row r="84">
      <c r="A84" s="34" t="n"/>
      <c r="C84" s="42" t="n"/>
      <c r="D84" s="42" t="n"/>
      <c r="E84" s="16">
        <f>IF(C84*D84=0,0,(D84-C84)*24)</f>
        <v/>
      </c>
      <c r="F84">
        <f>IF(C84=0,0,MAX(0,(C84-TIME(9,0,0))*1440))</f>
        <v/>
      </c>
    </row>
    <row r="85">
      <c r="A85" s="34" t="n"/>
      <c r="C85" s="42" t="n"/>
      <c r="D85" s="42" t="n"/>
      <c r="E85" s="16">
        <f>IF(C85*D85=0,0,(D85-C85)*24)</f>
        <v/>
      </c>
      <c r="F85">
        <f>IF(C85=0,0,MAX(0,(C85-TIME(9,0,0))*1440))</f>
        <v/>
      </c>
    </row>
    <row r="86">
      <c r="A86" s="34" t="n"/>
      <c r="C86" s="42" t="n"/>
      <c r="D86" s="42" t="n"/>
      <c r="E86" s="16">
        <f>IF(C86*D86=0,0,(D86-C86)*24)</f>
        <v/>
      </c>
      <c r="F86">
        <f>IF(C86=0,0,MAX(0,(C86-TIME(9,0,0))*1440))</f>
        <v/>
      </c>
    </row>
    <row r="87">
      <c r="A87" s="34" t="n"/>
      <c r="C87" s="42" t="n"/>
      <c r="D87" s="42" t="n"/>
      <c r="E87" s="16">
        <f>IF(C87*D87=0,0,(D87-C87)*24)</f>
        <v/>
      </c>
      <c r="F87">
        <f>IF(C87=0,0,MAX(0,(C87-TIME(9,0,0))*1440))</f>
        <v/>
      </c>
    </row>
    <row r="88">
      <c r="A88" s="34" t="n"/>
      <c r="C88" s="42" t="n"/>
      <c r="D88" s="42" t="n"/>
      <c r="E88" s="16">
        <f>IF(C88*D88=0,0,(D88-C88)*24)</f>
        <v/>
      </c>
      <c r="F88">
        <f>IF(C88=0,0,MAX(0,(C88-TIME(9,0,0))*1440))</f>
        <v/>
      </c>
    </row>
    <row r="89">
      <c r="A89" s="34" t="n"/>
      <c r="C89" s="42" t="n"/>
      <c r="D89" s="42" t="n"/>
      <c r="E89" s="16">
        <f>IF(C89*D89=0,0,(D89-C89)*24)</f>
        <v/>
      </c>
      <c r="F89">
        <f>IF(C89=0,0,MAX(0,(C89-TIME(9,0,0))*1440))</f>
        <v/>
      </c>
    </row>
    <row r="90">
      <c r="A90" s="34" t="n"/>
      <c r="C90" s="42" t="n"/>
      <c r="D90" s="42" t="n"/>
      <c r="E90" s="16">
        <f>IF(C90*D90=0,0,(D90-C90)*24)</f>
        <v/>
      </c>
      <c r="F90">
        <f>IF(C90=0,0,MAX(0,(C90-TIME(9,0,0))*1440))</f>
        <v/>
      </c>
    </row>
    <row r="91">
      <c r="A91" s="34" t="n"/>
      <c r="C91" s="42" t="n"/>
      <c r="D91" s="42" t="n"/>
      <c r="E91" s="16">
        <f>IF(C91*D91=0,0,(D91-C91)*24)</f>
        <v/>
      </c>
      <c r="F91">
        <f>IF(C91=0,0,MAX(0,(C91-TIME(9,0,0))*1440))</f>
        <v/>
      </c>
    </row>
    <row r="92">
      <c r="A92" s="34" t="n"/>
      <c r="C92" s="42" t="n"/>
      <c r="D92" s="42" t="n"/>
      <c r="E92" s="16">
        <f>IF(C92*D92=0,0,(D92-C92)*24)</f>
        <v/>
      </c>
      <c r="F92">
        <f>IF(C92=0,0,MAX(0,(C92-TIME(9,0,0))*1440))</f>
        <v/>
      </c>
    </row>
    <row r="93">
      <c r="A93" s="34" t="n"/>
      <c r="C93" s="42" t="n"/>
      <c r="D93" s="42" t="n"/>
      <c r="E93" s="16">
        <f>IF(C93*D93=0,0,(D93-C93)*24)</f>
        <v/>
      </c>
      <c r="F93">
        <f>IF(C93=0,0,MAX(0,(C93-TIME(9,0,0))*1440))</f>
        <v/>
      </c>
    </row>
    <row r="94">
      <c r="A94" s="34" t="n"/>
      <c r="C94" s="42" t="n"/>
      <c r="D94" s="42" t="n"/>
      <c r="E94" s="16">
        <f>IF(C94*D94=0,0,(D94-C94)*24)</f>
        <v/>
      </c>
      <c r="F94">
        <f>IF(C94=0,0,MAX(0,(C94-TIME(9,0,0))*1440))</f>
        <v/>
      </c>
    </row>
    <row r="95">
      <c r="A95" s="34" t="n"/>
      <c r="C95" s="42" t="n"/>
      <c r="D95" s="42" t="n"/>
      <c r="E95" s="16">
        <f>IF(C95*D95=0,0,(D95-C95)*24)</f>
        <v/>
      </c>
      <c r="F95">
        <f>IF(C95=0,0,MAX(0,(C95-TIME(9,0,0))*1440))</f>
        <v/>
      </c>
    </row>
    <row r="96">
      <c r="A96" s="34" t="n"/>
      <c r="C96" s="42" t="n"/>
      <c r="D96" s="42" t="n"/>
      <c r="E96" s="16">
        <f>IF(C96*D96=0,0,(D96-C96)*24)</f>
        <v/>
      </c>
      <c r="F96">
        <f>IF(C96=0,0,MAX(0,(C96-TIME(9,0,0))*1440))</f>
        <v/>
      </c>
    </row>
    <row r="97">
      <c r="A97" s="34" t="n"/>
      <c r="C97" s="42" t="n"/>
      <c r="D97" s="42" t="n"/>
      <c r="E97" s="16">
        <f>IF(C97*D97=0,0,(D97-C97)*24)</f>
        <v/>
      </c>
      <c r="F97">
        <f>IF(C97=0,0,MAX(0,(C97-TIME(9,0,0))*1440))</f>
        <v/>
      </c>
    </row>
    <row r="98">
      <c r="A98" s="34" t="n"/>
      <c r="C98" s="42" t="n"/>
      <c r="D98" s="42" t="n"/>
      <c r="E98" s="16">
        <f>IF(C98*D98=0,0,(D98-C98)*24)</f>
        <v/>
      </c>
      <c r="F98">
        <f>IF(C98=0,0,MAX(0,(C98-TIME(9,0,0))*1440))</f>
        <v/>
      </c>
    </row>
    <row r="99">
      <c r="A99" s="34" t="n"/>
      <c r="C99" s="42" t="n"/>
      <c r="D99" s="42" t="n"/>
      <c r="E99" s="16">
        <f>IF(C99*D99=0,0,(D99-C99)*24)</f>
        <v/>
      </c>
      <c r="F99">
        <f>IF(C99=0,0,MAX(0,(C99-TIME(9,0,0))*1440))</f>
        <v/>
      </c>
    </row>
    <row r="100">
      <c r="A100" s="34" t="n"/>
      <c r="C100" s="42" t="n"/>
      <c r="D100" s="42" t="n"/>
      <c r="E100" s="16">
        <f>IF(C100*D100=0,0,(D100-C100)*24)</f>
        <v/>
      </c>
      <c r="F100">
        <f>IF(C100=0,0,MAX(0,(C100-TIME(9,0,0))*1440))</f>
        <v/>
      </c>
    </row>
    <row r="101">
      <c r="A101" s="34" t="n"/>
      <c r="C101" s="42" t="n"/>
      <c r="D101" s="42" t="n"/>
      <c r="E101" s="16">
        <f>IF(C101*D101=0,0,(D101-C101)*24)</f>
        <v/>
      </c>
      <c r="F101">
        <f>IF(C101=0,0,MAX(0,(C101-TIME(9,0,0))*1440))</f>
        <v/>
      </c>
    </row>
    <row r="102">
      <c r="A102" s="34" t="n"/>
      <c r="C102" s="42" t="n"/>
      <c r="D102" s="42" t="n"/>
      <c r="E102" s="16">
        <f>IF(C102*D102=0,0,(D102-C102)*24)</f>
        <v/>
      </c>
      <c r="F102">
        <f>IF(C102=0,0,MAX(0,(C102-TIME(9,0,0))*1440))</f>
        <v/>
      </c>
    </row>
    <row r="103">
      <c r="A103" s="34" t="n"/>
      <c r="C103" s="42" t="n"/>
      <c r="D103" s="42" t="n"/>
      <c r="E103" s="16">
        <f>IF(C103*D103=0,0,(D103-C103)*24)</f>
        <v/>
      </c>
      <c r="F103">
        <f>IF(C103=0,0,MAX(0,(C103-TIME(9,0,0))*1440))</f>
        <v/>
      </c>
    </row>
  </sheetData>
  <mergeCells count="1">
    <mergeCell ref="A1:G1"/>
  </mergeCells>
  <dataValidations count="1">
    <dataValidation sqref="B4:B103" showDropDown="0" showInputMessage="0" showErrorMessage="0" allowBlank="1" error="يرجى اختيار موظف من القائمة" type="list">
      <formula1>=الموظفين!$B$4:$B$23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" customWidth="1" style="24" min="1" max="1"/>
    <col width="20" customWidth="1" style="24" min="2" max="2"/>
    <col width="12" customWidth="1" style="24" min="3" max="3"/>
    <col width="14" customWidth="1" style="24" min="4" max="4"/>
    <col width="16" customWidth="1" style="24" min="5" max="5"/>
    <col width="12" customWidth="1" style="24" min="6" max="6"/>
    <col width="12" customWidth="1" style="24" min="7" max="7"/>
    <col width="14" customWidth="1" style="24" min="8" max="8"/>
    <col width="16" customWidth="1" style="24" min="9" max="9"/>
  </cols>
  <sheetData>
    <row r="1">
      <c r="A1" s="32" t="inlineStr">
        <is>
          <t>المخزون</t>
        </is>
      </c>
    </row>
    <row r="2">
      <c r="A2" t="inlineStr">
        <is>
          <t>ملاحظة: يتم تحديث الوارد من شيت المشتريات اليومية، والصادر من شيت الجرد</t>
        </is>
      </c>
    </row>
    <row r="4">
      <c r="A4" s="33" t="inlineStr">
        <is>
          <t>م</t>
        </is>
      </c>
      <c r="B4" s="33" t="inlineStr">
        <is>
          <t>اسم الصنف</t>
        </is>
      </c>
      <c r="C4" s="33" t="inlineStr">
        <is>
          <t>الوحدة</t>
        </is>
      </c>
      <c r="D4" s="33" t="inlineStr">
        <is>
          <t>سعر الوحدة</t>
        </is>
      </c>
      <c r="E4" s="33" t="inlineStr">
        <is>
          <t>رصيد أول المدة</t>
        </is>
      </c>
      <c r="F4" s="33" t="inlineStr">
        <is>
          <t>الوارد</t>
        </is>
      </c>
      <c r="G4" s="33" t="inlineStr">
        <is>
          <t>الصادر</t>
        </is>
      </c>
      <c r="H4" s="33" t="inlineStr">
        <is>
          <t>الرصيد الحالي</t>
        </is>
      </c>
      <c r="I4" s="33" t="inlineStr">
        <is>
          <t>قيمة الرصيد</t>
        </is>
      </c>
    </row>
    <row r="5">
      <c r="A5" t="n">
        <v>1</v>
      </c>
      <c r="B5" t="inlineStr">
        <is>
          <t>قهوة</t>
        </is>
      </c>
      <c r="C5" t="inlineStr">
        <is>
          <t>كجم</t>
        </is>
      </c>
      <c r="D5" s="2" t="n"/>
      <c r="E5" s="2" t="n"/>
      <c r="F5" s="2" t="n"/>
      <c r="G5" s="2" t="n"/>
      <c r="H5" s="2">
        <f>IF(E5=0,0,E5+F5-G5)</f>
        <v/>
      </c>
      <c r="I5" s="2">
        <f>IF(H5=0,0,H5*D5)</f>
        <v/>
      </c>
    </row>
    <row r="6">
      <c r="A6" t="n">
        <v>2</v>
      </c>
      <c r="B6" t="inlineStr">
        <is>
          <t>حليب</t>
        </is>
      </c>
      <c r="C6" t="inlineStr">
        <is>
          <t>لتر</t>
        </is>
      </c>
      <c r="D6" s="2" t="n"/>
      <c r="E6" s="2" t="n"/>
      <c r="F6" s="2" t="n"/>
      <c r="G6" s="2" t="n"/>
      <c r="H6" s="2">
        <f>IF(E6=0,0,E6+F6-G6)</f>
        <v/>
      </c>
      <c r="I6" s="2">
        <f>IF(H6=0,0,H6*D6)</f>
        <v/>
      </c>
    </row>
    <row r="7">
      <c r="A7" t="n">
        <v>3</v>
      </c>
      <c r="B7" t="inlineStr">
        <is>
          <t>سكر</t>
        </is>
      </c>
      <c r="C7" t="inlineStr">
        <is>
          <t>كجم</t>
        </is>
      </c>
      <c r="D7" s="2" t="n"/>
      <c r="E7" s="2" t="n"/>
      <c r="F7" s="2" t="n"/>
      <c r="G7" s="2" t="n"/>
      <c r="H7" s="2">
        <f>IF(E7=0,0,E7+F7-G7)</f>
        <v/>
      </c>
      <c r="I7" s="2">
        <f>IF(H7=0,0,H7*D7)</f>
        <v/>
      </c>
    </row>
    <row r="8">
      <c r="A8" t="n">
        <v>4</v>
      </c>
      <c r="B8" t="inlineStr">
        <is>
          <t>شاي</t>
        </is>
      </c>
      <c r="C8" t="inlineStr">
        <is>
          <t>كجم</t>
        </is>
      </c>
      <c r="D8" s="2" t="n"/>
      <c r="E8" s="2" t="n"/>
      <c r="F8" s="2" t="n"/>
      <c r="G8" s="2" t="n"/>
      <c r="H8" s="2">
        <f>IF(E8=0,0,E8+F8-G8)</f>
        <v/>
      </c>
      <c r="I8" s="2">
        <f>IF(H8=0,0,H8*D8)</f>
        <v/>
      </c>
    </row>
    <row r="9">
      <c r="A9" t="n">
        <v>5</v>
      </c>
      <c r="B9" t="inlineStr">
        <is>
          <t>عصائر</t>
        </is>
      </c>
      <c r="C9" t="inlineStr">
        <is>
          <t>كرتونة</t>
        </is>
      </c>
      <c r="D9" s="2" t="n"/>
      <c r="E9" s="2" t="n"/>
      <c r="F9" s="2" t="n"/>
      <c r="G9" s="2" t="n"/>
      <c r="H9" s="2">
        <f>IF(E9=0,0,E9+F9-G9)</f>
        <v/>
      </c>
      <c r="I9" s="2">
        <f>IF(H9=0,0,H9*D9)</f>
        <v/>
      </c>
    </row>
    <row r="10">
      <c r="A10" t="n">
        <v>6</v>
      </c>
      <c r="B10" t="inlineStr">
        <is>
          <t>مياه</t>
        </is>
      </c>
      <c r="C10" t="inlineStr">
        <is>
          <t>كرتونة</t>
        </is>
      </c>
      <c r="D10" s="2" t="n"/>
      <c r="E10" s="2" t="n"/>
      <c r="F10" s="2" t="n"/>
      <c r="G10" s="2" t="n"/>
      <c r="H10" s="2">
        <f>IF(E10=0,0,E10+F10-G10)</f>
        <v/>
      </c>
      <c r="I10" s="2">
        <f>IF(H10=0,0,H10*D10)</f>
        <v/>
      </c>
    </row>
    <row r="11">
      <c r="A11" t="n">
        <v>7</v>
      </c>
      <c r="B11" t="inlineStr">
        <is>
          <t>مشروبات غازية</t>
        </is>
      </c>
      <c r="C11" t="inlineStr">
        <is>
          <t>كرتونة</t>
        </is>
      </c>
      <c r="D11" s="2" t="n"/>
      <c r="E11" s="2" t="n"/>
      <c r="F11" s="2" t="n"/>
      <c r="G11" s="2" t="n"/>
      <c r="H11" s="2">
        <f>IF(E11=0,0,E11+F11-G11)</f>
        <v/>
      </c>
      <c r="I11" s="2">
        <f>IF(H11=0,0,H11*D11)</f>
        <v/>
      </c>
    </row>
    <row r="12">
      <c r="A12" t="n">
        <v>8</v>
      </c>
      <c r="B12" t="inlineStr">
        <is>
          <t>مستلزمات نظافة</t>
        </is>
      </c>
      <c r="C12" t="inlineStr">
        <is>
          <t>حبة</t>
        </is>
      </c>
      <c r="D12" s="2" t="n"/>
      <c r="E12" s="2" t="n"/>
      <c r="F12" s="2" t="n"/>
      <c r="G12" s="2" t="n"/>
      <c r="H12" s="2">
        <f>IF(E12=0,0,E12+F12-G12)</f>
        <v/>
      </c>
      <c r="I12" s="2">
        <f>IF(H12=0,0,H12*D12)</f>
        <v/>
      </c>
    </row>
    <row r="13">
      <c r="A13" t="n">
        <v>9</v>
      </c>
      <c r="B13" t="inlineStr">
        <is>
          <t>أكواب ورقية</t>
        </is>
      </c>
      <c r="C13" t="inlineStr">
        <is>
          <t>كرتونة</t>
        </is>
      </c>
      <c r="D13" s="2" t="n"/>
      <c r="E13" s="2" t="n"/>
      <c r="F13" s="2" t="n"/>
      <c r="G13" s="2" t="n"/>
      <c r="H13" s="2">
        <f>IF(E13=0,0,E13+F13-G13)</f>
        <v/>
      </c>
      <c r="I13" s="2">
        <f>IF(H13=0,0,H13*D13)</f>
        <v/>
      </c>
    </row>
    <row r="14">
      <c r="A14" t="n">
        <v>10</v>
      </c>
      <c r="B14" t="inlineStr">
        <is>
          <t>بسكويت/حلويات</t>
        </is>
      </c>
      <c r="C14" t="inlineStr">
        <is>
          <t>كرتونة</t>
        </is>
      </c>
      <c r="D14" s="2" t="n"/>
      <c r="E14" s="2" t="n"/>
      <c r="F14" s="2" t="n"/>
      <c r="G14" s="2" t="n"/>
      <c r="H14" s="2">
        <f>IF(E14=0,0,E14+F14-G14)</f>
        <v/>
      </c>
      <c r="I14" s="2">
        <f>IF(H14=0,0,H14*D14)</f>
        <v/>
      </c>
    </row>
    <row r="15">
      <c r="A15" t="n">
        <v>11</v>
      </c>
      <c r="B15" t="inlineStr">
        <is>
          <t>زيت طهي</t>
        </is>
      </c>
      <c r="C15" t="inlineStr">
        <is>
          <t>لتر</t>
        </is>
      </c>
      <c r="D15" s="2" t="n"/>
      <c r="E15" s="2" t="n"/>
      <c r="F15" s="2" t="n"/>
      <c r="G15" s="2" t="n"/>
      <c r="H15" s="2">
        <f>IF(E15=0,0,E15+F15-G15)</f>
        <v/>
      </c>
      <c r="I15" s="2">
        <f>IF(H15=0,0,H15*D15)</f>
        <v/>
      </c>
    </row>
    <row r="16">
      <c r="A16" t="n">
        <v>12</v>
      </c>
      <c r="B16" t="inlineStr">
        <is>
          <t>دقيق</t>
        </is>
      </c>
      <c r="C16" t="inlineStr">
        <is>
          <t>كجم</t>
        </is>
      </c>
      <c r="D16" s="2" t="n"/>
      <c r="E16" s="2" t="n"/>
      <c r="F16" s="2" t="n"/>
      <c r="G16" s="2" t="n"/>
      <c r="H16" s="2">
        <f>IF(E16=0,0,E16+F16-G16)</f>
        <v/>
      </c>
      <c r="I16" s="2">
        <f>IF(H16=0,0,H16*D16)</f>
        <v/>
      </c>
    </row>
    <row r="17">
      <c r="A17" t="n">
        <v>13</v>
      </c>
      <c r="B17" t="inlineStr">
        <is>
          <t>زبدة/كريمة</t>
        </is>
      </c>
      <c r="C17" t="inlineStr">
        <is>
          <t>كجم</t>
        </is>
      </c>
      <c r="D17" s="2" t="n"/>
      <c r="E17" s="2" t="n"/>
      <c r="F17" s="2" t="n"/>
      <c r="G17" s="2" t="n"/>
      <c r="H17" s="2">
        <f>IF(E17=0,0,E17+F17-G17)</f>
        <v/>
      </c>
      <c r="I17" s="2">
        <f>IF(H17=0,0,H17*D17)</f>
        <v/>
      </c>
    </row>
    <row r="18">
      <c r="A18" t="n">
        <v>14</v>
      </c>
      <c r="B18" t="inlineStr">
        <is>
          <t>شوكولاتة</t>
        </is>
      </c>
      <c r="C18" t="inlineStr">
        <is>
          <t>كجم</t>
        </is>
      </c>
      <c r="D18" s="2" t="n"/>
      <c r="E18" s="2" t="n"/>
      <c r="F18" s="2" t="n"/>
      <c r="G18" s="2" t="n"/>
      <c r="H18" s="2">
        <f>IF(E18=0,0,E18+F18-G18)</f>
        <v/>
      </c>
      <c r="I18" s="2">
        <f>IF(H18=0,0,H18*D18)</f>
        <v/>
      </c>
    </row>
    <row r="19">
      <c r="A19" t="n">
        <v>15</v>
      </c>
      <c r="B19" t="inlineStr">
        <is>
          <t>مكسرات</t>
        </is>
      </c>
      <c r="C19" t="inlineStr">
        <is>
          <t>كجم</t>
        </is>
      </c>
      <c r="D19" s="2" t="n"/>
      <c r="E19" s="2" t="n"/>
      <c r="F19" s="2" t="n"/>
      <c r="G19" s="2" t="n"/>
      <c r="H19" s="2">
        <f>IF(E19=0,0,E19+F19-G19)</f>
        <v/>
      </c>
      <c r="I19" s="2">
        <f>IF(H19=0,0,H19*D19)</f>
        <v/>
      </c>
    </row>
    <row r="20">
      <c r="A20" s="39" t="inlineStr">
        <is>
          <t>الإجمالي</t>
        </is>
      </c>
      <c r="B20" s="40" t="n"/>
      <c r="C20" s="40" t="n"/>
      <c r="D20" s="40" t="n"/>
      <c r="E20" s="41">
        <f>SUM(E5:E19)</f>
        <v/>
      </c>
      <c r="F20" s="41">
        <f>SUM(F5:F19)</f>
        <v/>
      </c>
      <c r="G20" s="41">
        <f>SUM(G5:G19)</f>
        <v/>
      </c>
      <c r="H20" s="41">
        <f>SUM(H5:H19)</f>
        <v/>
      </c>
      <c r="I20" s="41">
        <f>SUM(I5:I19)</f>
        <v/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D2B48C"/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style="24" min="1" max="1"/>
    <col width="20" customWidth="1" style="24" min="2" max="2"/>
    <col width="16" customWidth="1" style="24" min="3" max="3"/>
    <col width="16" customWidth="1" style="24" min="4" max="4"/>
    <col width="14" customWidth="1" style="24" min="5" max="5"/>
    <col width="14" customWidth="1" style="24" min="6" max="6"/>
    <col width="20" customWidth="1" style="24" min="7" max="7"/>
  </cols>
  <sheetData>
    <row r="1">
      <c r="A1" s="32" t="inlineStr">
        <is>
          <t>جرد المخزون</t>
        </is>
      </c>
    </row>
    <row r="3">
      <c r="A3" s="33" t="inlineStr">
        <is>
          <t>التاريخ</t>
        </is>
      </c>
      <c r="B3" s="33" t="inlineStr">
        <is>
          <t>الصنف</t>
        </is>
      </c>
      <c r="C3" s="33" t="inlineStr">
        <is>
          <t>رصيد النظام</t>
        </is>
      </c>
      <c r="D3" s="33" t="inlineStr">
        <is>
          <t>الرصيد الفعلي</t>
        </is>
      </c>
      <c r="E3" s="33" t="inlineStr">
        <is>
          <t>الفرق</t>
        </is>
      </c>
      <c r="F3" s="33" t="inlineStr">
        <is>
          <t>الحالة</t>
        </is>
      </c>
      <c r="G3" s="33" t="inlineStr">
        <is>
          <t>ملاحظات</t>
        </is>
      </c>
    </row>
    <row r="4">
      <c r="A4" s="34" t="n"/>
      <c r="C4" s="2" t="n"/>
      <c r="D4" s="2" t="n"/>
      <c r="E4" s="2">
        <f>IF(C4*D4=0,0,C4-D4)</f>
        <v/>
      </c>
      <c r="F4">
        <f>IF(C4=0,"",IF(E4=0,"مطابق","فيه فرق"))</f>
        <v/>
      </c>
    </row>
    <row r="5">
      <c r="A5" s="34" t="n"/>
      <c r="C5" s="2" t="n"/>
      <c r="D5" s="2" t="n"/>
      <c r="E5" s="2">
        <f>IF(C5*D5=0,0,C5-D5)</f>
        <v/>
      </c>
      <c r="F5">
        <f>IF(C5=0,"",IF(E5=0,"مطابق","فيه فرق"))</f>
        <v/>
      </c>
    </row>
    <row r="6">
      <c r="A6" s="34" t="n"/>
      <c r="C6" s="2" t="n"/>
      <c r="D6" s="2" t="n"/>
      <c r="E6" s="2">
        <f>IF(C6*D6=0,0,C6-D6)</f>
        <v/>
      </c>
      <c r="F6">
        <f>IF(C6=0,"",IF(E6=0,"مطابق","فيه فرق"))</f>
        <v/>
      </c>
    </row>
    <row r="7">
      <c r="A7" s="34" t="n"/>
      <c r="C7" s="2" t="n"/>
      <c r="D7" s="2" t="n"/>
      <c r="E7" s="2">
        <f>IF(C7*D7=0,0,C7-D7)</f>
        <v/>
      </c>
      <c r="F7">
        <f>IF(C7=0,"",IF(E7=0,"مطابق","فيه فرق"))</f>
        <v/>
      </c>
    </row>
    <row r="8">
      <c r="A8" s="34" t="n"/>
      <c r="C8" s="2" t="n"/>
      <c r="D8" s="2" t="n"/>
      <c r="E8" s="2">
        <f>IF(C8*D8=0,0,C8-D8)</f>
        <v/>
      </c>
      <c r="F8">
        <f>IF(C8=0,"",IF(E8=0,"مطابق","فيه فرق"))</f>
        <v/>
      </c>
    </row>
    <row r="9">
      <c r="A9" s="34" t="n"/>
      <c r="C9" s="2" t="n"/>
      <c r="D9" s="2" t="n"/>
      <c r="E9" s="2">
        <f>IF(C9*D9=0,0,C9-D9)</f>
        <v/>
      </c>
      <c r="F9">
        <f>IF(C9=0,"",IF(E9=0,"مطابق","فيه فرق"))</f>
        <v/>
      </c>
    </row>
    <row r="10">
      <c r="A10" s="34" t="n"/>
      <c r="C10" s="2" t="n"/>
      <c r="D10" s="2" t="n"/>
      <c r="E10" s="2">
        <f>IF(C10*D10=0,0,C10-D10)</f>
        <v/>
      </c>
      <c r="F10">
        <f>IF(C10=0,"",IF(E10=0,"مطابق","فيه فرق"))</f>
        <v/>
      </c>
    </row>
    <row r="11">
      <c r="A11" s="34" t="n"/>
      <c r="C11" s="2" t="n"/>
      <c r="D11" s="2" t="n"/>
      <c r="E11" s="2">
        <f>IF(C11*D11=0,0,C11-D11)</f>
        <v/>
      </c>
      <c r="F11">
        <f>IF(C11=0,"",IF(E11=0,"مطابق","فيه فرق"))</f>
        <v/>
      </c>
    </row>
    <row r="12">
      <c r="A12" s="34" t="n"/>
      <c r="C12" s="2" t="n"/>
      <c r="D12" s="2" t="n"/>
      <c r="E12" s="2">
        <f>IF(C12*D12=0,0,C12-D12)</f>
        <v/>
      </c>
      <c r="F12">
        <f>IF(C12=0,"",IF(E12=0,"مطابق","فيه فرق"))</f>
        <v/>
      </c>
    </row>
    <row r="13">
      <c r="A13" s="34" t="n"/>
      <c r="C13" s="2" t="n"/>
      <c r="D13" s="2" t="n"/>
      <c r="E13" s="2">
        <f>IF(C13*D13=0,0,C13-D13)</f>
        <v/>
      </c>
      <c r="F13">
        <f>IF(C13=0,"",IF(E13=0,"مطابق","فيه فرق"))</f>
        <v/>
      </c>
    </row>
    <row r="14">
      <c r="A14" s="34" t="n"/>
      <c r="C14" s="2" t="n"/>
      <c r="D14" s="2" t="n"/>
      <c r="E14" s="2">
        <f>IF(C14*D14=0,0,C14-D14)</f>
        <v/>
      </c>
      <c r="F14">
        <f>IF(C14=0,"",IF(E14=0,"مطابق","فيه فرق"))</f>
        <v/>
      </c>
    </row>
    <row r="15">
      <c r="A15" s="34" t="n"/>
      <c r="C15" s="2" t="n"/>
      <c r="D15" s="2" t="n"/>
      <c r="E15" s="2">
        <f>IF(C15*D15=0,0,C15-D15)</f>
        <v/>
      </c>
      <c r="F15">
        <f>IF(C15=0,"",IF(E15=0,"مطابق","فيه فرق"))</f>
        <v/>
      </c>
    </row>
    <row r="16">
      <c r="A16" s="34" t="n"/>
      <c r="C16" s="2" t="n"/>
      <c r="D16" s="2" t="n"/>
      <c r="E16" s="2">
        <f>IF(C16*D16=0,0,C16-D16)</f>
        <v/>
      </c>
      <c r="F16">
        <f>IF(C16=0,"",IF(E16=0,"مطابق","فيه فرق"))</f>
        <v/>
      </c>
    </row>
    <row r="17">
      <c r="A17" s="34" t="n"/>
      <c r="C17" s="2" t="n"/>
      <c r="D17" s="2" t="n"/>
      <c r="E17" s="2">
        <f>IF(C17*D17=0,0,C17-D17)</f>
        <v/>
      </c>
      <c r="F17">
        <f>IF(C17=0,"",IF(E17=0,"مطابق","فيه فرق"))</f>
        <v/>
      </c>
    </row>
    <row r="18">
      <c r="A18" s="34" t="n"/>
      <c r="C18" s="2" t="n"/>
      <c r="D18" s="2" t="n"/>
      <c r="E18" s="2">
        <f>IF(C18*D18=0,0,C18-D18)</f>
        <v/>
      </c>
      <c r="F18">
        <f>IF(C18=0,"",IF(E18=0,"مطابق","فيه فرق"))</f>
        <v/>
      </c>
    </row>
    <row r="19">
      <c r="A19" s="34" t="n"/>
      <c r="C19" s="2" t="n"/>
      <c r="D19" s="2" t="n"/>
      <c r="E19" s="2">
        <f>IF(C19*D19=0,0,C19-D19)</f>
        <v/>
      </c>
      <c r="F19">
        <f>IF(C19=0,"",IF(E19=0,"مطابق","فيه فرق"))</f>
        <v/>
      </c>
    </row>
    <row r="20">
      <c r="A20" s="34" t="n"/>
      <c r="C20" s="2" t="n"/>
      <c r="D20" s="2" t="n"/>
      <c r="E20" s="2">
        <f>IF(C20*D20=0,0,C20-D20)</f>
        <v/>
      </c>
      <c r="F20">
        <f>IF(C20=0,"",IF(E20=0,"مطابق","فيه فرق"))</f>
        <v/>
      </c>
    </row>
    <row r="21">
      <c r="A21" s="34" t="n"/>
      <c r="C21" s="2" t="n"/>
      <c r="D21" s="2" t="n"/>
      <c r="E21" s="2">
        <f>IF(C21*D21=0,0,C21-D21)</f>
        <v/>
      </c>
      <c r="F21">
        <f>IF(C21=0,"",IF(E21=0,"مطابق","فيه فرق"))</f>
        <v/>
      </c>
    </row>
    <row r="22">
      <c r="A22" s="34" t="n"/>
      <c r="C22" s="2" t="n"/>
      <c r="D22" s="2" t="n"/>
      <c r="E22" s="2">
        <f>IF(C22*D22=0,0,C22-D22)</f>
        <v/>
      </c>
      <c r="F22">
        <f>IF(C22=0,"",IF(E22=0,"مطابق","فيه فرق"))</f>
        <v/>
      </c>
    </row>
    <row r="23">
      <c r="A23" s="34" t="n"/>
      <c r="C23" s="2" t="n"/>
      <c r="D23" s="2" t="n"/>
      <c r="E23" s="2">
        <f>IF(C23*D23=0,0,C23-D23)</f>
        <v/>
      </c>
      <c r="F23">
        <f>IF(C23=0,"",IF(E23=0,"مطابق","فيه فرق"))</f>
        <v/>
      </c>
    </row>
    <row r="24">
      <c r="A24" s="34" t="n"/>
      <c r="C24" s="2" t="n"/>
      <c r="D24" s="2" t="n"/>
      <c r="E24" s="2">
        <f>IF(C24*D24=0,0,C24-D24)</f>
        <v/>
      </c>
      <c r="F24">
        <f>IF(C24=0,"",IF(E24=0,"مطابق","فيه فرق"))</f>
        <v/>
      </c>
    </row>
    <row r="25">
      <c r="A25" s="34" t="n"/>
      <c r="C25" s="2" t="n"/>
      <c r="D25" s="2" t="n"/>
      <c r="E25" s="2">
        <f>IF(C25*D25=0,0,C25-D25)</f>
        <v/>
      </c>
      <c r="F25">
        <f>IF(C25=0,"",IF(E25=0,"مطابق","فيه فرق"))</f>
        <v/>
      </c>
    </row>
    <row r="26">
      <c r="A26" s="34" t="n"/>
      <c r="C26" s="2" t="n"/>
      <c r="D26" s="2" t="n"/>
      <c r="E26" s="2">
        <f>IF(C26*D26=0,0,C26-D26)</f>
        <v/>
      </c>
      <c r="F26">
        <f>IF(C26=0,"",IF(E26=0,"مطابق","فيه فرق"))</f>
        <v/>
      </c>
    </row>
    <row r="27">
      <c r="A27" s="34" t="n"/>
      <c r="C27" s="2" t="n"/>
      <c r="D27" s="2" t="n"/>
      <c r="E27" s="2">
        <f>IF(C27*D27=0,0,C27-D27)</f>
        <v/>
      </c>
      <c r="F27">
        <f>IF(C27=0,"",IF(E27=0,"مطابق","فيه فرق"))</f>
        <v/>
      </c>
    </row>
    <row r="28">
      <c r="A28" s="34" t="n"/>
      <c r="C28" s="2" t="n"/>
      <c r="D28" s="2" t="n"/>
      <c r="E28" s="2">
        <f>IF(C28*D28=0,0,C28-D28)</f>
        <v/>
      </c>
      <c r="F28">
        <f>IF(C28=0,"",IF(E28=0,"مطابق","فيه فرق"))</f>
        <v/>
      </c>
    </row>
    <row r="29">
      <c r="A29" s="34" t="n"/>
      <c r="C29" s="2" t="n"/>
      <c r="D29" s="2" t="n"/>
      <c r="E29" s="2">
        <f>IF(C29*D29=0,0,C29-D29)</f>
        <v/>
      </c>
      <c r="F29">
        <f>IF(C29=0,"",IF(E29=0,"مطابق","فيه فرق"))</f>
        <v/>
      </c>
    </row>
    <row r="30">
      <c r="A30" s="34" t="n"/>
      <c r="C30" s="2" t="n"/>
      <c r="D30" s="2" t="n"/>
      <c r="E30" s="2">
        <f>IF(C30*D30=0,0,C30-D30)</f>
        <v/>
      </c>
      <c r="F30">
        <f>IF(C30=0,"",IF(E30=0,"مطابق","فيه فرق"))</f>
        <v/>
      </c>
    </row>
    <row r="31">
      <c r="A31" s="34" t="n"/>
      <c r="C31" s="2" t="n"/>
      <c r="D31" s="2" t="n"/>
      <c r="E31" s="2">
        <f>IF(C31*D31=0,0,C31-D31)</f>
        <v/>
      </c>
      <c r="F31">
        <f>IF(C31=0,"",IF(E31=0,"مطابق","فيه فرق"))</f>
        <v/>
      </c>
    </row>
    <row r="32">
      <c r="A32" s="34" t="n"/>
      <c r="C32" s="2" t="n"/>
      <c r="D32" s="2" t="n"/>
      <c r="E32" s="2">
        <f>IF(C32*D32=0,0,C32-D32)</f>
        <v/>
      </c>
      <c r="F32">
        <f>IF(C32=0,"",IF(E32=0,"مطابق","فيه فرق"))</f>
        <v/>
      </c>
    </row>
    <row r="33">
      <c r="A33" s="34" t="n"/>
      <c r="C33" s="2" t="n"/>
      <c r="D33" s="2" t="n"/>
      <c r="E33" s="2">
        <f>IF(C33*D33=0,0,C33-D33)</f>
        <v/>
      </c>
      <c r="F33">
        <f>IF(C33=0,"",IF(E33=0,"مطابق","فيه فرق"))</f>
        <v/>
      </c>
    </row>
    <row r="34">
      <c r="A34" s="34" t="n"/>
      <c r="C34" s="2" t="n"/>
      <c r="D34" s="2" t="n"/>
      <c r="E34" s="2">
        <f>IF(C34*D34=0,0,C34-D34)</f>
        <v/>
      </c>
      <c r="F34">
        <f>IF(C34=0,"",IF(E34=0,"مطابق","فيه فرق"))</f>
        <v/>
      </c>
    </row>
    <row r="35">
      <c r="A35" s="34" t="n"/>
      <c r="C35" s="2" t="n"/>
      <c r="D35" s="2" t="n"/>
      <c r="E35" s="2">
        <f>IF(C35*D35=0,0,C35-D35)</f>
        <v/>
      </c>
      <c r="F35">
        <f>IF(C35=0,"",IF(E35=0,"مطابق","فيه فرق"))</f>
        <v/>
      </c>
    </row>
    <row r="36">
      <c r="A36" s="34" t="n"/>
      <c r="C36" s="2" t="n"/>
      <c r="D36" s="2" t="n"/>
      <c r="E36" s="2">
        <f>IF(C36*D36=0,0,C36-D36)</f>
        <v/>
      </c>
      <c r="F36">
        <f>IF(C36=0,"",IF(E36=0,"مطابق","فيه فرق"))</f>
        <v/>
      </c>
    </row>
    <row r="37">
      <c r="A37" s="34" t="n"/>
      <c r="C37" s="2" t="n"/>
      <c r="D37" s="2" t="n"/>
      <c r="E37" s="2">
        <f>IF(C37*D37=0,0,C37-D37)</f>
        <v/>
      </c>
      <c r="F37">
        <f>IF(C37=0,"",IF(E37=0,"مطابق","فيه فرق"))</f>
        <v/>
      </c>
    </row>
    <row r="38">
      <c r="A38" s="34" t="n"/>
      <c r="C38" s="2" t="n"/>
      <c r="D38" s="2" t="n"/>
      <c r="E38" s="2">
        <f>IF(C38*D38=0,0,C38-D38)</f>
        <v/>
      </c>
      <c r="F38">
        <f>IF(C38=0,"",IF(E38=0,"مطابق","فيه فرق"))</f>
        <v/>
      </c>
    </row>
    <row r="39">
      <c r="A39" s="34" t="n"/>
      <c r="C39" s="2" t="n"/>
      <c r="D39" s="2" t="n"/>
      <c r="E39" s="2">
        <f>IF(C39*D39=0,0,C39-D39)</f>
        <v/>
      </c>
      <c r="F39">
        <f>IF(C39=0,"",IF(E39=0,"مطابق","فيه فرق"))</f>
        <v/>
      </c>
    </row>
    <row r="40">
      <c r="A40" s="34" t="n"/>
      <c r="C40" s="2" t="n"/>
      <c r="D40" s="2" t="n"/>
      <c r="E40" s="2">
        <f>IF(C40*D40=0,0,C40-D40)</f>
        <v/>
      </c>
      <c r="F40">
        <f>IF(C40=0,"",IF(E40=0,"مطابق","فيه فرق"))</f>
        <v/>
      </c>
    </row>
    <row r="41">
      <c r="A41" s="34" t="n"/>
      <c r="C41" s="2" t="n"/>
      <c r="D41" s="2" t="n"/>
      <c r="E41" s="2">
        <f>IF(C41*D41=0,0,C41-D41)</f>
        <v/>
      </c>
      <c r="F41">
        <f>IF(C41=0,"",IF(E41=0,"مطابق","فيه فرق"))</f>
        <v/>
      </c>
    </row>
    <row r="42">
      <c r="A42" s="34" t="n"/>
      <c r="C42" s="2" t="n"/>
      <c r="D42" s="2" t="n"/>
      <c r="E42" s="2">
        <f>IF(C42*D42=0,0,C42-D42)</f>
        <v/>
      </c>
      <c r="F42">
        <f>IF(C42=0,"",IF(E42=0,"مطابق","فيه فرق"))</f>
        <v/>
      </c>
    </row>
    <row r="43">
      <c r="A43" s="34" t="n"/>
      <c r="C43" s="2" t="n"/>
      <c r="D43" s="2" t="n"/>
      <c r="E43" s="2">
        <f>IF(C43*D43=0,0,C43-D43)</f>
        <v/>
      </c>
      <c r="F43">
        <f>IF(C43=0,"",IF(E43=0,"مطابق","فيه فرق"))</f>
        <v/>
      </c>
    </row>
    <row r="44">
      <c r="A44" s="34" t="n"/>
      <c r="C44" s="2" t="n"/>
      <c r="D44" s="2" t="n"/>
      <c r="E44" s="2">
        <f>IF(C44*D44=0,0,C44-D44)</f>
        <v/>
      </c>
      <c r="F44">
        <f>IF(C44=0,"",IF(E44=0,"مطابق","فيه فرق"))</f>
        <v/>
      </c>
    </row>
    <row r="45">
      <c r="A45" s="34" t="n"/>
      <c r="C45" s="2" t="n"/>
      <c r="D45" s="2" t="n"/>
      <c r="E45" s="2">
        <f>IF(C45*D45=0,0,C45-D45)</f>
        <v/>
      </c>
      <c r="F45">
        <f>IF(C45=0,"",IF(E45=0,"مطابق","فيه فرق"))</f>
        <v/>
      </c>
    </row>
    <row r="46">
      <c r="A46" s="34" t="n"/>
      <c r="C46" s="2" t="n"/>
      <c r="D46" s="2" t="n"/>
      <c r="E46" s="2">
        <f>IF(C46*D46=0,0,C46-D46)</f>
        <v/>
      </c>
      <c r="F46">
        <f>IF(C46=0,"",IF(E46=0,"مطابق","فيه فرق"))</f>
        <v/>
      </c>
    </row>
    <row r="47">
      <c r="A47" s="34" t="n"/>
      <c r="C47" s="2" t="n"/>
      <c r="D47" s="2" t="n"/>
      <c r="E47" s="2">
        <f>IF(C47*D47=0,0,C47-D47)</f>
        <v/>
      </c>
      <c r="F47">
        <f>IF(C47=0,"",IF(E47=0,"مطابق","فيه فرق"))</f>
        <v/>
      </c>
    </row>
    <row r="48">
      <c r="A48" s="34" t="n"/>
      <c r="C48" s="2" t="n"/>
      <c r="D48" s="2" t="n"/>
      <c r="E48" s="2">
        <f>IF(C48*D48=0,0,C48-D48)</f>
        <v/>
      </c>
      <c r="F48">
        <f>IF(C48=0,"",IF(E48=0,"مطابق","فيه فرق"))</f>
        <v/>
      </c>
    </row>
    <row r="49">
      <c r="A49" s="34" t="n"/>
      <c r="C49" s="2" t="n"/>
      <c r="D49" s="2" t="n"/>
      <c r="E49" s="2">
        <f>IF(C49*D49=0,0,C49-D49)</f>
        <v/>
      </c>
      <c r="F49">
        <f>IF(C49=0,"",IF(E49=0,"مطابق","فيه فرق"))</f>
        <v/>
      </c>
    </row>
    <row r="50">
      <c r="A50" s="34" t="n"/>
      <c r="C50" s="2" t="n"/>
      <c r="D50" s="2" t="n"/>
      <c r="E50" s="2">
        <f>IF(C50*D50=0,0,C50-D50)</f>
        <v/>
      </c>
      <c r="F50">
        <f>IF(C50=0,"",IF(E50=0,"مطابق","فيه فرق"))</f>
        <v/>
      </c>
    </row>
    <row r="51">
      <c r="A51" s="34" t="n"/>
      <c r="C51" s="2" t="n"/>
      <c r="D51" s="2" t="n"/>
      <c r="E51" s="2">
        <f>IF(C51*D51=0,0,C51-D51)</f>
        <v/>
      </c>
      <c r="F51">
        <f>IF(C51=0,"",IF(E51=0,"مطابق","فيه فرق"))</f>
        <v/>
      </c>
    </row>
    <row r="52">
      <c r="A52" s="34" t="n"/>
      <c r="C52" s="2" t="n"/>
      <c r="D52" s="2" t="n"/>
      <c r="E52" s="2">
        <f>IF(C52*D52=0,0,C52-D52)</f>
        <v/>
      </c>
      <c r="F52">
        <f>IF(C52=0,"",IF(E52=0,"مطابق","فيه فرق"))</f>
        <v/>
      </c>
    </row>
    <row r="53">
      <c r="A53" s="34" t="n"/>
      <c r="C53" s="2" t="n"/>
      <c r="D53" s="2" t="n"/>
      <c r="E53" s="2">
        <f>IF(C53*D53=0,0,C53-D53)</f>
        <v/>
      </c>
      <c r="F53">
        <f>IF(C53=0,"",IF(E53=0,"مطابق","فيه فرق"))</f>
        <v/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87CEEB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" customWidth="1" style="24" min="1" max="1"/>
    <col width="20" customWidth="1" style="24" min="2" max="2"/>
    <col width="16" customWidth="1" style="24" min="3" max="3"/>
    <col width="25" customWidth="1" style="24" min="4" max="4"/>
    <col width="25" customWidth="1" style="24" min="5" max="5"/>
    <col width="18" customWidth="1" style="24" min="6" max="6"/>
    <col width="14" customWidth="1" style="24" min="7" max="7"/>
    <col width="14" customWidth="1" style="24" min="8" max="8"/>
  </cols>
  <sheetData>
    <row r="1">
      <c r="A1" s="32" t="inlineStr">
        <is>
          <t>بيانات الموردين</t>
        </is>
      </c>
    </row>
    <row r="3">
      <c r="A3" s="33" t="inlineStr">
        <is>
          <t>م</t>
        </is>
      </c>
      <c r="B3" s="33" t="inlineStr">
        <is>
          <t>اسم المورد</t>
        </is>
      </c>
      <c r="C3" s="33" t="inlineStr">
        <is>
          <t>رقم الهاتف</t>
        </is>
      </c>
      <c r="D3" s="33" t="inlineStr">
        <is>
          <t>العنوان</t>
        </is>
      </c>
      <c r="E3" s="33" t="inlineStr">
        <is>
          <t>المنتجات الموردة</t>
        </is>
      </c>
      <c r="F3" s="33" t="inlineStr">
        <is>
          <t>إجمالي المشتريات</t>
        </is>
      </c>
      <c r="G3" s="33" t="inlineStr">
        <is>
          <t>مدفوع</t>
        </is>
      </c>
      <c r="H3" s="33" t="inlineStr">
        <is>
          <t>المتبقي</t>
        </is>
      </c>
    </row>
    <row r="4">
      <c r="A4" t="n">
        <v>1</v>
      </c>
      <c r="F4" s="2">
        <f>IF(B4="",0,SUMIF('المشتريات اليومية'!D:D,B4,'المشتريات اليومية'!G:G))</f>
        <v/>
      </c>
      <c r="G4" s="2" t="n"/>
      <c r="H4" s="2">
        <f>IF(F4=0,0,F4-G4)</f>
        <v/>
      </c>
    </row>
    <row r="5">
      <c r="A5" t="n">
        <v>2</v>
      </c>
      <c r="F5" s="2">
        <f>IF(B5="",0,SUMIF('المشتريات اليومية'!D:D,B5,'المشتريات اليومية'!G:G))</f>
        <v/>
      </c>
      <c r="G5" s="2" t="n"/>
      <c r="H5" s="2">
        <f>IF(F5=0,0,F5-G5)</f>
        <v/>
      </c>
    </row>
    <row r="6">
      <c r="A6" t="n">
        <v>3</v>
      </c>
      <c r="F6" s="2">
        <f>IF(B6="",0,SUMIF('المشتريات اليومية'!D:D,B6,'المشتريات اليومية'!G:G))</f>
        <v/>
      </c>
      <c r="G6" s="2" t="n"/>
      <c r="H6" s="2">
        <f>IF(F6=0,0,F6-G6)</f>
        <v/>
      </c>
    </row>
    <row r="7">
      <c r="A7" t="n">
        <v>4</v>
      </c>
      <c r="F7" s="2">
        <f>IF(B7="",0,SUMIF('المشتريات اليومية'!D:D,B7,'المشتريات اليومية'!G:G))</f>
        <v/>
      </c>
      <c r="G7" s="2" t="n"/>
      <c r="H7" s="2">
        <f>IF(F7=0,0,F7-G7)</f>
        <v/>
      </c>
    </row>
    <row r="8">
      <c r="A8" t="n">
        <v>5</v>
      </c>
      <c r="F8" s="2">
        <f>IF(B8="",0,SUMIF('المشتريات اليومية'!D:D,B8,'المشتريات اليومية'!G:G))</f>
        <v/>
      </c>
      <c r="G8" s="2" t="n"/>
      <c r="H8" s="2">
        <f>IF(F8=0,0,F8-G8)</f>
        <v/>
      </c>
    </row>
    <row r="9">
      <c r="A9" t="n">
        <v>6</v>
      </c>
      <c r="F9" s="2">
        <f>IF(B9="",0,SUMIF('المشتريات اليومية'!D:D,B9,'المشتريات اليومية'!G:G))</f>
        <v/>
      </c>
      <c r="G9" s="2" t="n"/>
      <c r="H9" s="2">
        <f>IF(F9=0,0,F9-G9)</f>
        <v/>
      </c>
    </row>
    <row r="10">
      <c r="A10" t="n">
        <v>7</v>
      </c>
      <c r="F10" s="2">
        <f>IF(B10="",0,SUMIF('المشتريات اليومية'!D:D,B10,'المشتريات اليومية'!G:G))</f>
        <v/>
      </c>
      <c r="G10" s="2" t="n"/>
      <c r="H10" s="2">
        <f>IF(F10=0,0,F10-G10)</f>
        <v/>
      </c>
    </row>
    <row r="11">
      <c r="A11" t="n">
        <v>8</v>
      </c>
      <c r="F11" s="2">
        <f>IF(B11="",0,SUMIF('المشتريات اليومية'!D:D,B11,'المشتريات اليومية'!G:G))</f>
        <v/>
      </c>
      <c r="G11" s="2" t="n"/>
      <c r="H11" s="2">
        <f>IF(F11=0,0,F11-G11)</f>
        <v/>
      </c>
    </row>
    <row r="12">
      <c r="A12" t="n">
        <v>9</v>
      </c>
      <c r="F12" s="2">
        <f>IF(B12="",0,SUMIF('المشتريات اليومية'!D:D,B12,'المشتريات اليومية'!G:G))</f>
        <v/>
      </c>
      <c r="G12" s="2" t="n"/>
      <c r="H12" s="2">
        <f>IF(F12=0,0,F12-G12)</f>
        <v/>
      </c>
    </row>
    <row r="13">
      <c r="A13" t="n">
        <v>10</v>
      </c>
      <c r="F13" s="2">
        <f>IF(B13="",0,SUMIF('المشتريات اليومية'!D:D,B13,'المشتريات اليومية'!G:G))</f>
        <v/>
      </c>
      <c r="G13" s="2" t="n"/>
      <c r="H13" s="2">
        <f>IF(F13=0,0,F13-G13)</f>
        <v/>
      </c>
    </row>
    <row r="14">
      <c r="A14" t="n">
        <v>11</v>
      </c>
      <c r="F14" s="2">
        <f>IF(B14="",0,SUMIF('المشتريات اليومية'!D:D,B14,'المشتريات اليومية'!G:G))</f>
        <v/>
      </c>
      <c r="G14" s="2" t="n"/>
      <c r="H14" s="2">
        <f>IF(F14=0,0,F14-G14)</f>
        <v/>
      </c>
    </row>
    <row r="15">
      <c r="A15" t="n">
        <v>12</v>
      </c>
      <c r="F15" s="2">
        <f>IF(B15="",0,SUMIF('المشتريات اليومية'!D:D,B15,'المشتريات اليومية'!G:G))</f>
        <v/>
      </c>
      <c r="G15" s="2" t="n"/>
      <c r="H15" s="2">
        <f>IF(F15=0,0,F15-G15)</f>
        <v/>
      </c>
    </row>
    <row r="16">
      <c r="A16" t="n">
        <v>13</v>
      </c>
      <c r="F16" s="2">
        <f>IF(B16="",0,SUMIF('المشتريات اليومية'!D:D,B16,'المشتريات اليومية'!G:G))</f>
        <v/>
      </c>
      <c r="G16" s="2" t="n"/>
      <c r="H16" s="2">
        <f>IF(F16=0,0,F16-G16)</f>
        <v/>
      </c>
    </row>
    <row r="17">
      <c r="A17" t="n">
        <v>14</v>
      </c>
      <c r="F17" s="2">
        <f>IF(B17="",0,SUMIF('المشتريات اليومية'!D:D,B17,'المشتريات اليومية'!G:G))</f>
        <v/>
      </c>
      <c r="G17" s="2" t="n"/>
      <c r="H17" s="2">
        <f>IF(F17=0,0,F17-G17)</f>
        <v/>
      </c>
    </row>
    <row r="18">
      <c r="A18" t="n">
        <v>15</v>
      </c>
      <c r="F18" s="2">
        <f>IF(B18="",0,SUMIF('المشتريات اليومية'!D:D,B18,'المشتريات اليومية'!G:G))</f>
        <v/>
      </c>
      <c r="G18" s="2" t="n"/>
      <c r="H18" s="2">
        <f>IF(F18=0,0,F18-G18)</f>
        <v/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50A280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style="24" min="1" max="1"/>
    <col width="20" customWidth="1" style="24" min="2" max="2"/>
    <col width="20" customWidth="1" style="24" min="3" max="3"/>
    <col width="20" customWidth="1" style="24" min="4" max="4"/>
    <col width="18" customWidth="1" style="24" min="5" max="5"/>
    <col width="22" customWidth="1" style="24" min="6" max="6"/>
    <col width="20" customWidth="1" style="24" min="7" max="7"/>
  </cols>
  <sheetData>
    <row r="1">
      <c r="A1" s="32" t="inlineStr">
        <is>
          <t>الملخص الشهري</t>
        </is>
      </c>
    </row>
    <row r="3">
      <c r="A3" s="33" t="inlineStr">
        <is>
          <t>الشهر</t>
        </is>
      </c>
      <c r="B3" s="33" t="inlineStr">
        <is>
          <t>إجمالي الإيرادات</t>
        </is>
      </c>
      <c r="C3" s="33" t="inlineStr">
        <is>
          <t>إجمالي المشتريات</t>
        </is>
      </c>
      <c r="D3" s="33" t="inlineStr">
        <is>
          <t>إجمالي المصروفات</t>
        </is>
      </c>
      <c r="E3" s="33" t="inlineStr">
        <is>
          <t>إجمالي الرواتب</t>
        </is>
      </c>
      <c r="F3" s="33" t="inlineStr">
        <is>
          <t>صافي الربح/الخسارة</t>
        </is>
      </c>
      <c r="G3" s="33" t="inlineStr">
        <is>
          <t>ملاحظات</t>
        </is>
      </c>
    </row>
    <row r="4">
      <c r="A4" t="inlineStr">
        <is>
          <t>يناير</t>
        </is>
      </c>
      <c r="B4" s="2">
        <f>SUMPRODUCT(ISNUMBER('الإيرادات اليومية'!A4:A34)*ISNUMBER('الإيرادات اليومية'!G4:G34)*(MONTH('الإيرادات اليومية'!A4:A34)=1)*'الإيرادات اليومية'!G4:G34)</f>
        <v/>
      </c>
      <c r="C4" s="2">
        <f>SUMPRODUCT(ISNUMBER('المشتريات اليومية'!A4:A53)*ISNUMBER('المشتريات اليومية'!G4:G53)*(MONTH('المشتريات اليومية'!A4:A53)=1)*'المشتريات اليومية'!G4:G53)</f>
        <v/>
      </c>
      <c r="D4" s="2">
        <f>SUMPRODUCT(ISNUMBER('المصروفات'!A4:A53)*ISNUMBER('المصروفات'!D4:D53)*(MONTH('المصروفات'!A4:A53)=1)*'المصروفات'!D4:D53)</f>
        <v/>
      </c>
      <c r="E4" s="2" t="n"/>
      <c r="F4" s="2">
        <f>IF(B4=0,0,B4-C4-D4-E4)</f>
        <v/>
      </c>
    </row>
    <row r="5">
      <c r="A5" t="inlineStr">
        <is>
          <t>فبراير</t>
        </is>
      </c>
      <c r="B5" s="2">
        <f>SUMPRODUCT(ISNUMBER('الإيرادات اليومية'!A4:A34)*ISNUMBER('الإيرادات اليومية'!G4:G34)*(MONTH('الإيرادات اليومية'!A4:A34)=2)*'الإيرادات اليومية'!G4:G34)</f>
        <v/>
      </c>
      <c r="C5" s="2">
        <f>SUMPRODUCT(ISNUMBER('المشتريات اليومية'!A4:A53)*ISNUMBER('المشتريات اليومية'!G4:G53)*(MONTH('المشتريات اليومية'!A4:A53)=2)*'المشتريات اليومية'!G4:G53)</f>
        <v/>
      </c>
      <c r="D5" s="2">
        <f>SUMPRODUCT(ISNUMBER('المصروفات'!A4:A53)*ISNUMBER('المصروفات'!D4:D53)*(MONTH('المصروفات'!A4:A53)=2)*'المصروفات'!D4:D53)</f>
        <v/>
      </c>
      <c r="E5" s="2" t="n"/>
      <c r="F5" s="2">
        <f>IF(B5=0,0,B5-C5-D5-E5)</f>
        <v/>
      </c>
    </row>
    <row r="6">
      <c r="A6" t="inlineStr">
        <is>
          <t>مارس</t>
        </is>
      </c>
      <c r="B6" s="2">
        <f>SUMPRODUCT(ISNUMBER('الإيرادات اليومية'!A4:A34)*ISNUMBER('الإيرادات اليومية'!G4:G34)*(MONTH('الإيرادات اليومية'!A4:A34)=3)*'الإيرادات اليومية'!G4:G34)</f>
        <v/>
      </c>
      <c r="C6" s="2">
        <f>SUMPRODUCT(ISNUMBER('المشتريات اليومية'!A4:A53)*ISNUMBER('المشتريات اليومية'!G4:G53)*(MONTH('المشتريات اليومية'!A4:A53)=3)*'المشتريات اليومية'!G4:G53)</f>
        <v/>
      </c>
      <c r="D6" s="2">
        <f>SUMPRODUCT(ISNUMBER('المصروفات'!A4:A53)*ISNUMBER('المصروفات'!D4:D53)*(MONTH('المصروفات'!A4:A53)=3)*'المصروفات'!D4:D53)</f>
        <v/>
      </c>
      <c r="E6" s="2" t="n"/>
      <c r="F6" s="2">
        <f>IF(B6=0,0,B6-C6-D6-E6)</f>
        <v/>
      </c>
    </row>
    <row r="7">
      <c r="A7" t="inlineStr">
        <is>
          <t>أبريل</t>
        </is>
      </c>
      <c r="B7" s="2">
        <f>SUMPRODUCT(ISNUMBER('الإيرادات اليومية'!A4:A34)*ISNUMBER('الإيرادات اليومية'!G4:G34)*(MONTH('الإيرادات اليومية'!A4:A34)=4)*'الإيرادات اليومية'!G4:G34)</f>
        <v/>
      </c>
      <c r="C7" s="2">
        <f>SUMPRODUCT(ISNUMBER('المشتريات اليومية'!A4:A53)*ISNUMBER('المشتريات اليومية'!G4:G53)*(MONTH('المشتريات اليومية'!A4:A53)=4)*'المشتريات اليومية'!G4:G53)</f>
        <v/>
      </c>
      <c r="D7" s="2">
        <f>SUMPRODUCT(ISNUMBER('المصروفات'!A4:A53)*ISNUMBER('المصروفات'!D4:D53)*(MONTH('المصروفات'!A4:A53)=4)*'المصروفات'!D4:D53)</f>
        <v/>
      </c>
      <c r="E7" s="2" t="n"/>
      <c r="F7" s="2">
        <f>IF(B7=0,0,B7-C7-D7-E7)</f>
        <v/>
      </c>
    </row>
    <row r="8">
      <c r="A8" t="inlineStr">
        <is>
          <t>مايو</t>
        </is>
      </c>
      <c r="B8" s="2">
        <f>SUMPRODUCT(ISNUMBER('الإيرادات اليومية'!A4:A34)*ISNUMBER('الإيرادات اليومية'!G4:G34)*(MONTH('الإيرادات اليومية'!A4:A34)=5)*'الإيرادات اليومية'!G4:G34)</f>
        <v/>
      </c>
      <c r="C8" s="2">
        <f>SUMPRODUCT(ISNUMBER('المشتريات اليومية'!A4:A53)*ISNUMBER('المشتريات اليومية'!G4:G53)*(MONTH('المشتريات اليومية'!A4:A53)=5)*'المشتريات اليومية'!G4:G53)</f>
        <v/>
      </c>
      <c r="D8" s="2">
        <f>SUMPRODUCT(ISNUMBER('المصروفات'!A4:A53)*ISNUMBER('المصروفات'!D4:D53)*(MONTH('المصروفات'!A4:A53)=5)*'المصروفات'!D4:D53)</f>
        <v/>
      </c>
      <c r="E8" s="2" t="n"/>
      <c r="F8" s="2">
        <f>IF(B8=0,0,B8-C8-D8-E8)</f>
        <v/>
      </c>
    </row>
    <row r="9">
      <c r="A9" t="inlineStr">
        <is>
          <t>يونيو</t>
        </is>
      </c>
      <c r="B9" s="2">
        <f>SUMPRODUCT(ISNUMBER('الإيرادات اليومية'!A4:A34)*ISNUMBER('الإيرادات اليومية'!G4:G34)*(MONTH('الإيرادات اليومية'!A4:A34)=6)*'الإيرادات اليومية'!G4:G34)</f>
        <v/>
      </c>
      <c r="C9" s="2">
        <f>SUMPRODUCT(ISNUMBER('المشتريات اليومية'!A4:A53)*ISNUMBER('المشتريات اليومية'!G4:G53)*(MONTH('المشتريات اليومية'!A4:A53)=6)*'المشتريات اليومية'!G4:G53)</f>
        <v/>
      </c>
      <c r="D9" s="2">
        <f>SUMPRODUCT(ISNUMBER('المصروفات'!A4:A53)*ISNUMBER('المصروفات'!D4:D53)*(MONTH('المصروفات'!A4:A53)=6)*'المصروفات'!D4:D53)</f>
        <v/>
      </c>
      <c r="E9" s="2" t="n"/>
      <c r="F9" s="2">
        <f>IF(B9=0,0,B9-C9-D9-E9)</f>
        <v/>
      </c>
    </row>
    <row r="10">
      <c r="A10" t="inlineStr">
        <is>
          <t>يوليو</t>
        </is>
      </c>
      <c r="B10" s="2">
        <f>SUMPRODUCT(ISNUMBER('الإيرادات اليومية'!A4:A34)*ISNUMBER('الإيرادات اليومية'!G4:G34)*(MONTH('الإيرادات اليومية'!A4:A34)=7)*'الإيرادات اليومية'!G4:G34)</f>
        <v/>
      </c>
      <c r="C10" s="2">
        <f>SUMPRODUCT(ISNUMBER('المشتريات اليومية'!A4:A53)*ISNUMBER('المشتريات اليومية'!G4:G53)*(MONTH('المشتريات اليومية'!A4:A53)=7)*'المشتريات اليومية'!G4:G53)</f>
        <v/>
      </c>
      <c r="D10" s="2">
        <f>SUMPRODUCT(ISNUMBER('المصروفات'!A4:A53)*ISNUMBER('المصروفات'!D4:D53)*(MONTH('المصروفات'!A4:A53)=7)*'المصروفات'!D4:D53)</f>
        <v/>
      </c>
      <c r="E10" s="2" t="n"/>
      <c r="F10" s="2">
        <f>IF(B10=0,0,B10-C10-D10-E10)</f>
        <v/>
      </c>
    </row>
    <row r="11">
      <c r="A11" t="inlineStr">
        <is>
          <t>أغسطس</t>
        </is>
      </c>
      <c r="B11" s="2">
        <f>SUMPRODUCT(ISNUMBER('الإيرادات اليومية'!A4:A34)*ISNUMBER('الإيرادات اليومية'!G4:G34)*(MONTH('الإيرادات اليومية'!A4:A34)=8)*'الإيرادات اليومية'!G4:G34)</f>
        <v/>
      </c>
      <c r="C11" s="2">
        <f>SUMPRODUCT(ISNUMBER('المشتريات اليومية'!A4:A53)*ISNUMBER('المشتريات اليومية'!G4:G53)*(MONTH('المشتريات اليومية'!A4:A53)=8)*'المشتريات اليومية'!G4:G53)</f>
        <v/>
      </c>
      <c r="D11" s="2">
        <f>SUMPRODUCT(ISNUMBER('المصروفات'!A4:A53)*ISNUMBER('المصروفات'!D4:D53)*(MONTH('المصروفات'!A4:A53)=8)*'المصروفات'!D4:D53)</f>
        <v/>
      </c>
      <c r="E11" s="2" t="n"/>
      <c r="F11" s="2">
        <f>IF(B11=0,0,B11-C11-D11-E11)</f>
        <v/>
      </c>
    </row>
    <row r="12">
      <c r="A12" t="inlineStr">
        <is>
          <t>سبتمبر</t>
        </is>
      </c>
      <c r="B12" s="2">
        <f>SUMPRODUCT(ISNUMBER('الإيرادات اليومية'!A4:A34)*ISNUMBER('الإيرادات اليومية'!G4:G34)*(MONTH('الإيرادات اليومية'!A4:A34)=9)*'الإيرادات اليومية'!G4:G34)</f>
        <v/>
      </c>
      <c r="C12" s="2">
        <f>SUMPRODUCT(ISNUMBER('المشتريات اليومية'!A4:A53)*ISNUMBER('المشتريات اليومية'!G4:G53)*(MONTH('المشتريات اليومية'!A4:A53)=9)*'المشتريات اليومية'!G4:G53)</f>
        <v/>
      </c>
      <c r="D12" s="2">
        <f>SUMPRODUCT(ISNUMBER('المصروفات'!A4:A53)*ISNUMBER('المصروفات'!D4:D53)*(MONTH('المصروفات'!A4:A53)=9)*'المصروفات'!D4:D53)</f>
        <v/>
      </c>
      <c r="E12" s="2" t="n"/>
      <c r="F12" s="2">
        <f>IF(B12=0,0,B12-C12-D12-E12)</f>
        <v/>
      </c>
    </row>
    <row r="13">
      <c r="A13" t="inlineStr">
        <is>
          <t>أكتوبر</t>
        </is>
      </c>
      <c r="B13" s="2">
        <f>SUMPRODUCT(ISNUMBER('الإيرادات اليومية'!A4:A34)*ISNUMBER('الإيرادات اليومية'!G4:G34)*(MONTH('الإيرادات اليومية'!A4:A34)=10)*'الإيرادات اليومية'!G4:G34)</f>
        <v/>
      </c>
      <c r="C13" s="2">
        <f>SUMPRODUCT(ISNUMBER('المشتريات اليومية'!A4:A53)*ISNUMBER('المشتريات اليومية'!G4:G53)*(MONTH('المشتريات اليومية'!A4:A53)=10)*'المشتريات اليومية'!G4:G53)</f>
        <v/>
      </c>
      <c r="D13" s="2">
        <f>SUMPRODUCT(ISNUMBER('المصروفات'!A4:A53)*ISNUMBER('المصروفات'!D4:D53)*(MONTH('المصروفات'!A4:A53)=10)*'المصروفات'!D4:D53)</f>
        <v/>
      </c>
      <c r="E13" s="2" t="n"/>
      <c r="F13" s="2">
        <f>IF(B13=0,0,B13-C13-D13-E13)</f>
        <v/>
      </c>
    </row>
    <row r="14">
      <c r="A14" t="inlineStr">
        <is>
          <t>نوفمبر</t>
        </is>
      </c>
      <c r="B14" s="2">
        <f>SUMPRODUCT(ISNUMBER('الإيرادات اليومية'!A4:A34)*ISNUMBER('الإيرادات اليومية'!G4:G34)*(MONTH('الإيرادات اليومية'!A4:A34)=11)*'الإيرادات اليومية'!G4:G34)</f>
        <v/>
      </c>
      <c r="C14" s="2">
        <f>SUMPRODUCT(ISNUMBER('المشتريات اليومية'!A4:A53)*ISNUMBER('المشتريات اليومية'!G4:G53)*(MONTH('المشتريات اليومية'!A4:A53)=11)*'المشتريات اليومية'!G4:G53)</f>
        <v/>
      </c>
      <c r="D14" s="2">
        <f>SUMPRODUCT(ISNUMBER('المصروفات'!A4:A53)*ISNUMBER('المصروفات'!D4:D53)*(MONTH('المصروفات'!A4:A53)=11)*'المصروفات'!D4:D53)</f>
        <v/>
      </c>
      <c r="E14" s="2" t="n"/>
      <c r="F14" s="2">
        <f>IF(B14=0,0,B14-C14-D14-E14)</f>
        <v/>
      </c>
    </row>
    <row r="15">
      <c r="A15" t="inlineStr">
        <is>
          <t>ديسمبر</t>
        </is>
      </c>
      <c r="B15" s="2">
        <f>SUMPRODUCT(ISNUMBER('الإيرادات اليومية'!A4:A34)*ISNUMBER('الإيرادات اليومية'!G4:G34)*(MONTH('الإيرادات اليومية'!A4:A34)=12)*'الإيرادات اليومية'!G4:G34)</f>
        <v/>
      </c>
      <c r="C15" s="2">
        <f>SUMPRODUCT(ISNUMBER('المشتريات اليومية'!A4:A53)*ISNUMBER('المشتريات اليومية'!G4:G53)*(MONTH('المشتريات اليومية'!A4:A53)=12)*'المشتريات اليومية'!G4:G53)</f>
        <v/>
      </c>
      <c r="D15" s="2">
        <f>SUMPRODUCT(ISNUMBER('المصروفات'!A4:A53)*ISNUMBER('المصروفات'!D4:D53)*(MONTH('المصروفات'!A4:A53)=12)*'المصروفات'!D4:D53)</f>
        <v/>
      </c>
      <c r="E15" s="2" t="n"/>
      <c r="F15" s="2">
        <f>IF(B15=0,0,B15-C15-D15-E15)</f>
        <v/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50A280"/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style="24" min="1" max="1"/>
    <col width="22" customWidth="1" style="24" min="2" max="2"/>
    <col width="20" customWidth="1" style="24" min="3" max="3"/>
    <col width="20" customWidth="1" style="24" min="4" max="4"/>
  </cols>
  <sheetData>
    <row r="1">
      <c r="A1" s="32" t="inlineStr">
        <is>
          <t>قائمة الدخل</t>
        </is>
      </c>
    </row>
    <row r="2">
      <c r="A2" t="inlineStr">
        <is>
          <t>لشهر:</t>
        </is>
      </c>
      <c r="B2" s="29" t="inlineStr">
        <is>
          <t>June 2026</t>
        </is>
      </c>
    </row>
    <row r="4">
      <c r="A4" s="43" t="inlineStr">
        <is>
          <t>الإيرادات</t>
        </is>
      </c>
    </row>
    <row r="5">
      <c r="A5" t="inlineStr">
        <is>
          <t>كاش</t>
        </is>
      </c>
      <c r="B5" s="2">
        <f>SUM('الإيرادات اليومية'!C4:C34)</f>
        <v/>
      </c>
    </row>
    <row r="6">
      <c r="A6" t="inlineStr">
        <is>
          <t>فيزا</t>
        </is>
      </c>
      <c r="B6" s="2">
        <f>SUM('الإيرادات اليومية'!D4:D34)</f>
        <v/>
      </c>
    </row>
    <row r="7">
      <c r="A7" t="inlineStr">
        <is>
          <t>تطبيقات التوصيل</t>
        </is>
      </c>
      <c r="B7" s="2">
        <f>SUM('الإيرادات اليومية'!E4:E34)</f>
        <v/>
      </c>
    </row>
    <row r="8">
      <c r="A8" t="inlineStr">
        <is>
          <t>إيرادات أخرى</t>
        </is>
      </c>
      <c r="B8" s="2">
        <f>SUM('الإيرادات اليومية'!F4:F34)</f>
        <v/>
      </c>
    </row>
    <row r="9">
      <c r="A9" s="35" t="inlineStr">
        <is>
          <t>إجمالي الإيرادات</t>
        </is>
      </c>
      <c r="B9" s="37">
        <f>SUM(B5:B8)</f>
        <v/>
      </c>
      <c r="C9" s="36" t="n"/>
      <c r="D9" s="36" t="n"/>
    </row>
    <row r="11">
      <c r="A11" s="43" t="inlineStr">
        <is>
          <t>تكلفة المشتريات</t>
        </is>
      </c>
    </row>
    <row r="12">
      <c r="A12" t="inlineStr">
        <is>
          <t>إجمالي المشتريات</t>
        </is>
      </c>
      <c r="B12" s="2">
        <f>SUM('المشتريات اليومية'!G4:G53)</f>
        <v/>
      </c>
    </row>
    <row r="14">
      <c r="A14" s="35" t="inlineStr">
        <is>
          <t>إجمالي تكلفة المشتريات</t>
        </is>
      </c>
      <c r="B14" s="37">
        <f>B12</f>
        <v/>
      </c>
      <c r="C14" s="36" t="n"/>
      <c r="D14" s="36" t="n"/>
    </row>
    <row r="16">
      <c r="A16" s="44" t="inlineStr">
        <is>
          <t>إجمالي الربح</t>
        </is>
      </c>
      <c r="B16" s="45">
        <f>B9-B14</f>
        <v/>
      </c>
      <c r="C16" s="46" t="n"/>
      <c r="D16" s="46" t="n"/>
    </row>
    <row r="18">
      <c r="A18" s="43" t="inlineStr">
        <is>
          <t>المصروفات التشغيلية</t>
        </is>
      </c>
    </row>
    <row r="19">
      <c r="A19" t="inlineStr">
        <is>
          <t>إيجار</t>
        </is>
      </c>
      <c r="B19" s="2">
        <f>SUMIF('المصروفات'!C:C,A19,'المصروفات'!D:D)</f>
        <v/>
      </c>
    </row>
    <row r="20">
      <c r="A20" t="inlineStr">
        <is>
          <t>كهرباء</t>
        </is>
      </c>
      <c r="B20" s="2">
        <f>SUMIF('المصروفات'!C:C,A20,'المصروفات'!D:D)</f>
        <v/>
      </c>
    </row>
    <row r="21">
      <c r="A21" t="inlineStr">
        <is>
          <t>مياه</t>
        </is>
      </c>
      <c r="B21" s="2">
        <f>SUMIF('المصروفات'!C:C,A21,'المصروفات'!D:D)</f>
        <v/>
      </c>
    </row>
    <row r="22">
      <c r="A22" t="inlineStr">
        <is>
          <t>غاز</t>
        </is>
      </c>
      <c r="B22" s="2">
        <f>SUMIF('المصروفات'!C:C,A22,'المصروفات'!D:D)</f>
        <v/>
      </c>
    </row>
    <row r="23">
      <c r="A23" t="inlineStr">
        <is>
          <t>صيانة</t>
        </is>
      </c>
      <c r="B23" s="2">
        <f>SUMIF('المصروفات'!C:C,A23,'المصروفات'!D:D)</f>
        <v/>
      </c>
    </row>
    <row r="24">
      <c r="A24" t="inlineStr">
        <is>
          <t>نظافة</t>
        </is>
      </c>
      <c r="B24" s="2">
        <f>SUMIF('المصروفات'!C:C,A24,'المصروفات'!D:D)</f>
        <v/>
      </c>
    </row>
    <row r="25">
      <c r="A25" t="inlineStr">
        <is>
          <t>دعاية وإعلان</t>
        </is>
      </c>
      <c r="B25" s="2">
        <f>SUMIF('المصروفات'!C:C,A25,'المصروفات'!D:D)</f>
        <v/>
      </c>
    </row>
    <row r="26">
      <c r="A26" t="inlineStr">
        <is>
          <t>تراخيص</t>
        </is>
      </c>
      <c r="B26" s="2">
        <f>SUMIF('المصروفات'!C:C,A26,'المصروفات'!D:D)</f>
        <v/>
      </c>
    </row>
    <row r="27">
      <c r="A27" t="inlineStr">
        <is>
          <t>تأمينات</t>
        </is>
      </c>
      <c r="B27" s="2">
        <f>SUMIF('المصروفات'!C:C,A27,'المصروفات'!D:D)</f>
        <v/>
      </c>
    </row>
    <row r="28">
      <c r="A28" t="inlineStr">
        <is>
          <t>رواتب</t>
        </is>
      </c>
      <c r="B28" s="2">
        <f>SUMIF('المصروفات'!C:C,A28,'المصروفات'!D:D)</f>
        <v/>
      </c>
    </row>
    <row r="29">
      <c r="A29" t="inlineStr">
        <is>
          <t>أخرى</t>
        </is>
      </c>
      <c r="B29" s="2">
        <f>SUMIF('المصروفات'!C:C,A29,'المصروفات'!D:D)</f>
        <v/>
      </c>
    </row>
    <row r="30">
      <c r="A30" s="35" t="inlineStr">
        <is>
          <t>إجمالي المصروفات</t>
        </is>
      </c>
      <c r="B30" s="37">
        <f>SUM(B19:B29)</f>
        <v/>
      </c>
      <c r="C30" s="36" t="n"/>
      <c r="D30" s="36" t="n"/>
    </row>
    <row r="32">
      <c r="A32" s="47" t="inlineStr">
        <is>
          <t>صافي الربح / الخسارة</t>
        </is>
      </c>
      <c r="B32" s="48">
        <f>B16-B30</f>
        <v/>
      </c>
      <c r="C32" s="46" t="n"/>
      <c r="D32" s="46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Eid Noh Eid Noh Saleh</dc:creator>
  <dcterms:created xsi:type="dcterms:W3CDTF">2026-06-27T05:51:50Z</dcterms:created>
  <dcterms:modified xsi:type="dcterms:W3CDTF">2026-06-27T14:51:35Z</dcterms:modified>
  <cp:lastModifiedBy>Eid Noh Eid Noh Saleh</cp:lastModifiedBy>
</cp:coreProperties>
</file>